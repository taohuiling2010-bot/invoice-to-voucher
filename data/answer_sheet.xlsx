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 xmlns:mc="http://schemas.openxmlformats.org/markup-compatibility/2006" xmlns:x15="http://schemas.microsoft.com/office/spreadsheetml/2010/11/main" mc:Ignorable="x15">
  <fileVersion appName="xl" lastEdited="3" lowestEdited="5" rupBuild="9302"/>
  <workbookPr/>
  <mc:AlternateContent xmlns:mc="http://schemas.openxmlformats.org/markup-compatibility/2006">
    <mc:Choice Requires="x15">
      <x15ac:absPath xmlns:x15ac="http://schemas.microsoft.com/office/spreadsheetml/2010/11/ac" url="C:\Users\桃花林\Desktop\"/>
    </mc:Choice>
  </mc:AlternateContent>
  <bookViews>
    <workbookView windowWidth="19200" windowHeight="8055"/>
  </bookViews>
  <sheets>
    <sheet name="Sheet1" sheetId="1" r:id="rId1"/>
    <sheet name="Sheet2" sheetId="2" r:id="rId2"/>
    <sheet name="Sheet3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<sst xmlns="http://schemas.openxmlformats.org/spreadsheetml/2006/main" count="121" uniqueCount="85">
  <si>
    <t>文件名</t>
  </si>
  <si>
    <t>发票代码</t>
  </si>
  <si>
    <t>发票号码</t>
  </si>
  <si>
    <t>开票日期</t>
  </si>
  <si>
    <t>销方名称</t>
  </si>
  <si>
    <t>销方税号</t>
  </si>
  <si>
    <t>购方名称</t>
  </si>
  <si>
    <t>金额</t>
  </si>
  <si>
    <t>税率</t>
  </si>
  <si>
    <t>税额</t>
  </si>
  <si>
    <t>价税合计</t>
  </si>
  <si>
    <t>预期结果</t>
  </si>
  <si>
    <t>预期原因</t>
  </si>
  <si>
    <t>错误发票_税额错误</t>
  </si>
  <si>
    <t>110102345678</t>
  </si>
  <si>
    <t>北京恒信办公设备有限公司</t>
  </si>
  <si>
    <t>91110105MA0A9B8C7D</t>
  </si>
  <si>
    <t>北京星云科技有限公司</t>
  </si>
  <si>
    <t>异常</t>
  </si>
  <si>
    <t>税额≠金额×税率</t>
  </si>
  <si>
    <t>错误发票_号码重复</t>
  </si>
  <si>
    <t>1100143160</t>
  </si>
  <si>
    <t>01234567</t>
  </si>
  <si>
    <t>天津卓信办公科技有限公司</t>
  </si>
  <si>
    <t>91120116MA7D9H2R3U</t>
  </si>
  <si>
    <t>号码和正常发票1重复</t>
  </si>
  <si>
    <t>错误发票_价税合计</t>
  </si>
  <si>
    <t>2024060201</t>
  </si>
  <si>
    <t>上海启越办公设备有限公司</t>
  </si>
  <si>
    <t>91310115MA7654321X</t>
  </si>
  <si>
    <t>价税合计≠金额+税额</t>
  </si>
  <si>
    <t>错误发票_税率错误</t>
  </si>
  <si>
    <t>2024060202</t>
  </si>
  <si>
    <t>苏州博远电子有限公司</t>
  </si>
  <si>
    <t>91320594MA7D3C8P1K</t>
  </si>
  <si>
    <t>税率填13%以外的非法值</t>
  </si>
  <si>
    <t>正常发票_旋转阴影</t>
  </si>
  <si>
    <t>01234576</t>
  </si>
  <si>
    <t>上海智创信息技术有限公司</t>
  </si>
  <si>
    <t>91310115MA7D8E9F0G</t>
  </si>
  <si>
    <t>通过</t>
  </si>
  <si>
    <t>正常发票1</t>
  </si>
  <si>
    <t>上海远景办公设备有限公司</t>
  </si>
  <si>
    <t>91310115MA1F2G3H4J</t>
  </si>
  <si>
    <t>正常发票2</t>
  </si>
  <si>
    <t>1100143168</t>
  </si>
  <si>
    <t>01234575</t>
  </si>
  <si>
    <t>北京筑诚工程服务有限公司</t>
  </si>
  <si>
    <t>91110108MA0B7C8D9E</t>
  </si>
  <si>
    <t>正常发票3</t>
  </si>
  <si>
    <t>1100143161</t>
  </si>
  <si>
    <t>01234568</t>
  </si>
  <si>
    <t>苏州卓信家具有限公司</t>
  </si>
  <si>
    <t>91320594MA3Q7B2L8K</t>
  </si>
  <si>
    <t>正常发票4</t>
  </si>
  <si>
    <t>1100143162</t>
  </si>
  <si>
    <t>01234569</t>
  </si>
  <si>
    <t>正常发票5</t>
  </si>
  <si>
    <t>1100143163</t>
  </si>
  <si>
    <t>01234570</t>
  </si>
  <si>
    <t>广州云衡信息技术有限公司</t>
  </si>
  <si>
    <t>91440101MA5CL8D27H</t>
  </si>
  <si>
    <t>正常发票6</t>
  </si>
  <si>
    <t>1100143164</t>
  </si>
  <si>
    <t>01234571</t>
  </si>
  <si>
    <t>深圳恒瑞办公耗材有限公司</t>
  </si>
  <si>
    <t>91440300MA5K1L2M3N</t>
  </si>
  <si>
    <t>正常发票7</t>
  </si>
  <si>
    <t>1100143165</t>
  </si>
  <si>
    <t>01234572</t>
  </si>
  <si>
    <t>天津安厦建筑工程有限公司</t>
  </si>
  <si>
    <t>91120116MA06P3K9H2</t>
  </si>
  <si>
    <t>正常发票8</t>
  </si>
  <si>
    <t>1100143166</t>
  </si>
  <si>
    <t>01234573</t>
  </si>
  <si>
    <t>杭州智维咨询科技有限公司</t>
  </si>
  <si>
    <t>91330109MA2B1C3D4E</t>
  </si>
  <si>
    <t>正常发票9</t>
  </si>
  <si>
    <t>1100143167</t>
  </si>
  <si>
    <t>01234574</t>
  </si>
  <si>
    <t>宁波启航数码设备有限公司</t>
  </si>
  <si>
    <t>91330212MA2J5K6L7M</t>
  </si>
  <si>
    <t>正常发票10</t>
  </si>
  <si>
    <t>北京华创办公设备有限公司</t>
  </si>
  <si>
    <t>91110115MA2B3C4D5E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</si>
</sst>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6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yyyy/m/d;@"/>
    <numFmt numFmtId="177" formatCode="0.00_ "/>
  </numFmts>
  <fonts count="20"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>
      <alignment vertical="center"/>
    </xf>
    <xf numFmtId="44" fontId="0" fillId="0" borderId="0">
      <alignment vertical="center"/>
    </xf>
    <xf numFmtId="9" fontId="0" fillId="0" borderId="0">
      <alignment vertical="center"/>
    </xf>
    <xf numFmtId="41" fontId="0" fillId="0" borderId="0">
      <alignment vertical="center"/>
    </xf>
    <xf numFmtId="42" fontId="0" fillId="0" borderId="0">
      <alignment vertical="center"/>
    </xf>
    <xf numFmtId="0" fontId="1" fillId="0" borderId="0">
      <alignment vertical="center"/>
    </xf>
    <xf numFmtId="0" fontId="2" fillId="0" borderId="0">
      <alignment vertical="center"/>
    </xf>
    <xf numFmtId="0" fontId="0" fillId="2" borderId="1">
      <alignment vertical="center"/>
    </xf>
    <xf numFmtId="0" fontId="3" fillId="0" borderId="0">
      <alignment vertical="center"/>
    </xf>
    <xf numFmtId="0" fontId="4" fillId="0" borderId="0">
      <alignment vertical="center"/>
    </xf>
    <xf numFmtId="0" fontId="5" fillId="0" borderId="0">
      <alignment vertical="center"/>
    </xf>
    <xf numFmtId="0" fontId="6" fillId="0" borderId="2">
      <alignment vertical="center"/>
    </xf>
    <xf numFmtId="0" fontId="7" fillId="0" borderId="2">
      <alignment vertical="center"/>
    </xf>
    <xf numFmtId="0" fontId="8" fillId="0" borderId="3">
      <alignment vertical="center"/>
    </xf>
    <xf numFmtId="0" fontId="8" fillId="0" borderId="0">
      <alignment vertical="center"/>
    </xf>
    <xf numFmtId="0" fontId="9" fillId="3" borderId="4">
      <alignment vertical="center"/>
    </xf>
    <xf numFmtId="0" fontId="10" fillId="4" borderId="5">
      <alignment vertical="center"/>
    </xf>
    <xf numFmtId="0" fontId="11" fillId="4" borderId="4">
      <alignment vertical="center"/>
    </xf>
    <xf numFmtId="0" fontId="12" fillId="5" borderId="6">
      <alignment vertical="center"/>
    </xf>
    <xf numFmtId="0" fontId="13" fillId="0" borderId="7">
      <alignment vertical="center"/>
    </xf>
    <xf numFmtId="0" fontId="14" fillId="0" borderId="8">
      <alignment vertical="center"/>
    </xf>
    <xf numFmtId="0" fontId="15" fillId="6" borderId="0">
      <alignment vertical="center"/>
    </xf>
    <xf numFmtId="0" fontId="16" fillId="7" borderId="0">
      <alignment vertical="center"/>
    </xf>
    <xf numFmtId="0" fontId="17" fillId="8" borderId="0">
      <alignment vertical="center"/>
    </xf>
    <xf numFmtId="0" fontId="18" fillId="9" borderId="0">
      <alignment vertical="center"/>
    </xf>
    <xf numFmtId="0" fontId="19" fillId="10" borderId="0">
      <alignment vertical="center"/>
    </xf>
    <xf numFmtId="0" fontId="19" fillId="11" borderId="0">
      <alignment vertical="center"/>
    </xf>
    <xf numFmtId="0" fontId="18" fillId="12" borderId="0">
      <alignment vertical="center"/>
    </xf>
    <xf numFmtId="0" fontId="18" fillId="13" borderId="0">
      <alignment vertical="center"/>
    </xf>
    <xf numFmtId="0" fontId="19" fillId="14" borderId="0">
      <alignment vertical="center"/>
    </xf>
    <xf numFmtId="0" fontId="19" fillId="15" borderId="0">
      <alignment vertical="center"/>
    </xf>
    <xf numFmtId="0" fontId="18" fillId="16" borderId="0">
      <alignment vertical="center"/>
    </xf>
    <xf numFmtId="0" fontId="18" fillId="17" borderId="0">
      <alignment vertical="center"/>
    </xf>
    <xf numFmtId="0" fontId="19" fillId="18" borderId="0">
      <alignment vertical="center"/>
    </xf>
    <xf numFmtId="0" fontId="19" fillId="19" borderId="0">
      <alignment vertical="center"/>
    </xf>
    <xf numFmtId="0" fontId="18" fillId="20" borderId="0">
      <alignment vertical="center"/>
    </xf>
    <xf numFmtId="0" fontId="18" fillId="21" borderId="0">
      <alignment vertical="center"/>
    </xf>
    <xf numFmtId="0" fontId="19" fillId="22" borderId="0">
      <alignment vertical="center"/>
    </xf>
    <xf numFmtId="0" fontId="19" fillId="23" borderId="0">
      <alignment vertical="center"/>
    </xf>
    <xf numFmtId="0" fontId="18" fillId="24" borderId="0">
      <alignment vertical="center"/>
    </xf>
    <xf numFmtId="0" fontId="18" fillId="25" borderId="0">
      <alignment vertical="center"/>
    </xf>
    <xf numFmtId="0" fontId="19" fillId="26" borderId="0">
      <alignment vertical="center"/>
    </xf>
    <xf numFmtId="0" fontId="19" fillId="27" borderId="0">
      <alignment vertical="center"/>
    </xf>
    <xf numFmtId="0" fontId="18" fillId="28" borderId="0">
      <alignment vertical="center"/>
    </xf>
    <xf numFmtId="0" fontId="18" fillId="29" borderId="0">
      <alignment vertical="center"/>
    </xf>
    <xf numFmtId="0" fontId="19" fillId="30" borderId="0">
      <alignment vertical="center"/>
    </xf>
    <xf numFmtId="0" fontId="19" fillId="31" borderId="0">
      <alignment vertical="center"/>
    </xf>
    <xf numFmtId="0" fontId="18" fillId="32" borderId="0">
      <alignment vertical="center"/>
    </xf>
  </cellStyleXfs>
  <cellXfs count="13">
    <xf numFmtId="0" fontId="0" fillId="0" borderId="0" xfId="0" applyAlignment="1">
      <alignment vertical="center"/>
    </xf>
    <xf numFmtId="49" fontId="0" fillId="0" borderId="0" xfId="0" applyNumberFormat="1" applyAlignment="1">
      <alignment vertical="center"/>
    </xf>
    <xf numFmtId="176" fontId="0" fillId="0" borderId="0" xfId="0" applyNumberFormat="1" applyAlignment="1">
      <alignment vertical="center"/>
    </xf>
    <xf numFmtId="0" fontId="0" fillId="0" borderId="0" xfId="0">
      <alignment vertical="center"/>
    </xf>
    <xf numFmtId="49" fontId="0" fillId="0" borderId="0" xfId="0" applyNumberFormat="1">
      <alignment vertical="center"/>
    </xf>
    <xf numFmtId="176" fontId="0" fillId="0" borderId="0" xfId="0" applyNumberFormat="1">
      <alignment vertical="center"/>
    </xf>
    <xf numFmtId="49" fontId="0" fillId="0" borderId="0" xfId="0" applyNumberFormat="1" applyAlignment="1">
      <alignment vertical="center" wrapText="1"/>
    </xf>
    <xf numFmtId="0" fontId="0" fillId="0" borderId="0" xfId="0" applyAlignment="1">
      <alignment vertical="center" wrapText="1"/>
    </xf>
    <xf numFmtId="4" fontId="0" fillId="0" borderId="0" xfId="0" applyNumberFormat="1" applyAlignment="1">
      <alignment vertical="center" wrapText="1"/>
    </xf>
    <xf numFmtId="10" fontId="0" fillId="0" borderId="0" xfId="0" applyNumberFormat="1" applyAlignment="1">
      <alignment vertical="center"/>
    </xf>
    <xf numFmtId="177" fontId="0" fillId="0" borderId="0" xfId="0" applyNumberFormat="1" applyAlignment="1">
      <alignment vertical="center"/>
    </xf>
    <xf numFmtId="176" fontId="0" fillId="0" borderId="0" xfId="0" applyNumberFormat="1" applyAlignment="1">
      <alignment vertical="center" wrapText="1"/>
    </xf>
    <xf numFmtId="10" fontId="0" fillId="0" borderId="0" xfId="0" applyNumberFormat="1" applyFont="1" applyFill="1" applyBorder="1" applyAlignment="1" applyProtection="1">
      <alignment vertical="center"/>
    </xf>
    <xf numFmtId="49" fontId="0" fillId="0" borderId="0" xfId="0" applyNumberFormat="1" applyAlignment="1" quotePrefix="1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tyles" Target="styles.xml"/><Relationship Id="rId5" Type="http://schemas.openxmlformats.org/officeDocument/2006/relationships/sharedStrings" Target="sharedString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M16"/>
  <sheetViews>
    <sheetView tabSelected="1" workbookViewId="0">
      <selection activeCell="I22" sqref="I22"/>
    </sheetView>
  </sheetViews>
  <sheetFormatPr defaultColWidth="9" defaultRowHeight="13.5"/>
  <cols>
    <col min="1" max="1" width="18.8938053097345" customWidth="1"/>
    <col min="2" max="2" width="13.929203539823" style="1" customWidth="1"/>
    <col min="3" max="3" width="11.7256637168142" style="1" customWidth="1"/>
    <col min="4" max="4" width="10.5929203539823" style="2" customWidth="1"/>
    <col min="5" max="5" width="26.4070796460177" customWidth="1"/>
    <col min="6" max="6" width="20.6548672566372" style="1" customWidth="1"/>
    <col min="7" max="7" width="19.9115044247788" customWidth="1"/>
    <col min="8" max="8" width="10.5929203539823"/>
    <col min="10" max="11" width="11.6637168141593"/>
    <col min="13" max="13" width="23.283185840708" customWidth="1"/>
  </cols>
  <sheetData>
    <row r="1" spans="1:13">
      <c r="A1" s="3" t="s">
        <v>0</v>
      </c>
      <c r="B1" s="4" t="s">
        <v>1</v>
      </c>
      <c r="C1" s="4" t="s">
        <v>2</v>
      </c>
      <c r="D1" s="5" t="s">
        <v>3</v>
      </c>
      <c r="E1" s="3" t="s">
        <v>4</v>
      </c>
      <c r="F1" s="4" t="s">
        <v>5</v>
      </c>
      <c r="G1" s="3" t="s">
        <v>6</v>
      </c>
      <c r="H1" s="3" t="s">
        <v>7</v>
      </c>
      <c r="I1" s="3" t="s">
        <v>8</v>
      </c>
      <c r="J1" s="3" t="s">
        <v>9</v>
      </c>
      <c r="K1" s="3" t="s">
        <v>10</v>
      </c>
      <c r="L1" s="3" t="s">
        <v>11</v>
      </c>
      <c r="M1" s="3" t="s">
        <v>12</v>
      </c>
    </row>
    <row r="2" spans="1:13">
      <c r="A2" t="s">
        <v>13</v>
      </c>
      <c r="B2" s="13" t="s">
        <v>14</v>
      </c>
      <c r="C2" s="1">
        <v>87654321</v>
      </c>
      <c r="D2" s="2">
        <v>45432</v>
      </c>
      <c r="E2" t="s">
        <v>15</v>
      </c>
      <c r="F2" s="6" t="s">
        <v>16</v>
      </c>
      <c r="G2" s="7" t="s">
        <v>17</v>
      </c>
      <c r="H2" s="8">
        <v>20000</v>
      </c>
      <c r="I2" s="9">
        <v>0.13</v>
      </c>
      <c r="J2" s="10">
        <v>2500</v>
      </c>
      <c r="K2" s="10">
        <v>22500</v>
      </c>
      <c r="L2" t="s">
        <v>18</v>
      </c>
      <c r="M2" t="s">
        <v>19</v>
      </c>
    </row>
    <row r="3" spans="1:13">
      <c r="A3" t="s">
        <v>20</v>
      </c>
      <c r="B3" s="6" t="s">
        <v>21</v>
      </c>
      <c r="C3" s="6" t="s">
        <v>22</v>
      </c>
      <c r="D3" s="2">
        <v>45430</v>
      </c>
      <c r="E3" t="s">
        <v>23</v>
      </c>
      <c r="F3" s="1" t="s">
        <v>24</v>
      </c>
      <c r="G3" s="7" t="s">
        <v>17</v>
      </c>
      <c r="H3">
        <v>8320</v>
      </c>
      <c r="I3" s="9">
        <v>0.13</v>
      </c>
      <c r="J3" s="10">
        <f>H3*I3</f>
        <v>1081.6</v>
      </c>
      <c r="K3" s="10">
        <f>H3+J3</f>
        <v>9401.6</v>
      </c>
      <c r="L3" t="s">
        <v>18</v>
      </c>
      <c r="M3" t="s">
        <v>25</v>
      </c>
    </row>
    <row r="4" spans="1:13">
      <c r="A4" t="s">
        <v>26</v>
      </c>
      <c r="B4" s="1" t="s">
        <v>27</v>
      </c>
      <c r="C4" s="1" t="s">
        <v>27</v>
      </c>
      <c r="D4" s="11">
        <v>45427</v>
      </c>
      <c r="E4" t="s">
        <v>28</v>
      </c>
      <c r="F4" s="1" t="s">
        <v>29</v>
      </c>
      <c r="G4" s="7" t="s">
        <v>17</v>
      </c>
      <c r="H4">
        <v>18000</v>
      </c>
      <c r="I4" s="9">
        <v>0.13</v>
      </c>
      <c r="J4" s="10">
        <f>H4*I4</f>
        <v>2340</v>
      </c>
      <c r="K4" s="10">
        <v>20100</v>
      </c>
      <c r="L4" t="s">
        <v>18</v>
      </c>
      <c r="M4" t="s">
        <v>30</v>
      </c>
    </row>
    <row r="5" spans="1:13">
      <c r="A5" t="s">
        <v>31</v>
      </c>
      <c r="B5" s="1" t="s">
        <v>32</v>
      </c>
      <c r="C5" s="1" t="s">
        <v>32</v>
      </c>
      <c r="D5" s="2">
        <v>45428</v>
      </c>
      <c r="E5" s="7" t="s">
        <v>33</v>
      </c>
      <c r="F5" s="1" t="s">
        <v>34</v>
      </c>
      <c r="G5" s="7" t="s">
        <v>17</v>
      </c>
      <c r="H5">
        <v>13000</v>
      </c>
      <c r="I5" s="9">
        <v>0.12</v>
      </c>
      <c r="J5" s="10">
        <f>H5*I5</f>
        <v>1560</v>
      </c>
      <c r="K5" s="10">
        <f>H5+J5</f>
        <v>14560</v>
      </c>
      <c r="L5" t="s">
        <v>18</v>
      </c>
      <c r="M5" t="s">
        <v>35</v>
      </c>
    </row>
    <row r="6" spans="1:13">
      <c r="A6" t="s">
        <v>36</v>
      </c>
      <c r="B6" s="1" t="s">
        <v>21</v>
      </c>
      <c r="C6" s="1" t="s">
        <v>37</v>
      </c>
      <c r="D6" s="2">
        <v>45428</v>
      </c>
      <c r="E6" t="s">
        <v>38</v>
      </c>
      <c r="F6" s="1" t="s">
        <v>39</v>
      </c>
      <c r="G6" s="7" t="s">
        <v>17</v>
      </c>
      <c r="H6">
        <v>84905.66</v>
      </c>
      <c r="I6" s="12">
        <v>0.06</v>
      </c>
      <c r="J6" s="10">
        <f>H6*I6</f>
        <v>5094.3396</v>
      </c>
      <c r="K6" s="10">
        <f>H6+J6</f>
        <v>89999.9996</v>
      </c>
      <c r="L6" t="s">
        <v>40</v>
      </c>
    </row>
    <row r="7" spans="1:13">
      <c r="A7" t="s">
        <v>41</v>
      </c>
      <c r="B7" s="1" t="s">
        <v>21</v>
      </c>
      <c r="C7" s="1" t="s">
        <v>22</v>
      </c>
      <c r="D7" s="2">
        <v>45432</v>
      </c>
      <c r="E7" t="s">
        <v>42</v>
      </c>
      <c r="F7" s="1" t="s">
        <v>43</v>
      </c>
      <c r="G7" s="7" t="s">
        <v>17</v>
      </c>
      <c r="H7">
        <v>46200</v>
      </c>
      <c r="I7" s="9">
        <v>0.13</v>
      </c>
      <c r="J7" s="10">
        <f t="shared" ref="J7:J16" si="0">H7*I7</f>
        <v>6006</v>
      </c>
      <c r="K7" s="10">
        <f t="shared" ref="K7:K16" si="1">H7+J7</f>
        <v>52206</v>
      </c>
      <c r="L7" t="s">
        <v>40</v>
      </c>
    </row>
    <row r="8" spans="1:13">
      <c r="A8" t="s">
        <v>44</v>
      </c>
      <c r="B8" s="1" t="s">
        <v>45</v>
      </c>
      <c r="C8" s="1" t="s">
        <v>46</v>
      </c>
      <c r="D8" s="2">
        <v>45439</v>
      </c>
      <c r="E8" t="s">
        <v>47</v>
      </c>
      <c r="F8" s="1" t="s">
        <v>48</v>
      </c>
      <c r="G8" s="7" t="s">
        <v>17</v>
      </c>
      <c r="H8">
        <v>30000</v>
      </c>
      <c r="I8" s="12">
        <v>0.09</v>
      </c>
      <c r="J8" s="10">
        <f t="shared" si="0"/>
        <v>2700</v>
      </c>
      <c r="K8" s="10">
        <f t="shared" si="1"/>
        <v>32700</v>
      </c>
      <c r="L8" t="s">
        <v>40</v>
      </c>
    </row>
    <row r="9" spans="1:13">
      <c r="A9" t="s">
        <v>49</v>
      </c>
      <c r="B9" s="1" t="s">
        <v>50</v>
      </c>
      <c r="C9" s="1" t="s">
        <v>51</v>
      </c>
      <c r="D9" s="2">
        <v>45418</v>
      </c>
      <c r="E9" t="s">
        <v>52</v>
      </c>
      <c r="F9" s="1" t="s">
        <v>53</v>
      </c>
      <c r="G9" s="7" t="s">
        <v>17</v>
      </c>
      <c r="H9">
        <v>16320</v>
      </c>
      <c r="I9" s="9">
        <v>0.13</v>
      </c>
      <c r="J9" s="10">
        <f t="shared" si="0"/>
        <v>2121.6</v>
      </c>
      <c r="K9" s="10">
        <f t="shared" si="1"/>
        <v>18441.6</v>
      </c>
      <c r="L9" t="s">
        <v>40</v>
      </c>
    </row>
    <row r="10" spans="1:13">
      <c r="A10" t="s">
        <v>54</v>
      </c>
      <c r="B10" s="1" t="s">
        <v>55</v>
      </c>
      <c r="C10" s="1" t="s">
        <v>56</v>
      </c>
      <c r="D10" s="2">
        <v>45420</v>
      </c>
      <c r="E10" s="7" t="s">
        <v>47</v>
      </c>
      <c r="F10" s="1" t="s">
        <v>48</v>
      </c>
      <c r="G10" s="7" t="s">
        <v>17</v>
      </c>
      <c r="H10">
        <v>40000</v>
      </c>
      <c r="I10" s="9">
        <v>0.09</v>
      </c>
      <c r="J10" s="10">
        <f t="shared" si="0"/>
        <v>3600</v>
      </c>
      <c r="K10" s="10">
        <f t="shared" si="1"/>
        <v>43600</v>
      </c>
      <c r="L10" t="s">
        <v>40</v>
      </c>
    </row>
    <row r="11" spans="1:13">
      <c r="A11" t="s">
        <v>57</v>
      </c>
      <c r="B11" s="1" t="s">
        <v>58</v>
      </c>
      <c r="C11" s="1" t="s">
        <v>59</v>
      </c>
      <c r="D11" s="2">
        <v>45422</v>
      </c>
      <c r="E11" t="s">
        <v>60</v>
      </c>
      <c r="F11" s="1" t="s">
        <v>61</v>
      </c>
      <c r="G11" s="7" t="s">
        <v>17</v>
      </c>
      <c r="H11">
        <v>18800</v>
      </c>
      <c r="I11" s="9">
        <v>0.06</v>
      </c>
      <c r="J11" s="10">
        <f t="shared" si="0"/>
        <v>1128</v>
      </c>
      <c r="K11" s="10">
        <f t="shared" si="1"/>
        <v>19928</v>
      </c>
      <c r="L11" t="s">
        <v>40</v>
      </c>
    </row>
    <row r="12" spans="1:13">
      <c r="A12" t="s">
        <v>62</v>
      </c>
      <c r="B12" s="1" t="s">
        <v>63</v>
      </c>
      <c r="C12" s="1" t="s">
        <v>64</v>
      </c>
      <c r="D12" s="2">
        <v>45425</v>
      </c>
      <c r="E12" t="s">
        <v>65</v>
      </c>
      <c r="F12" s="1" t="s">
        <v>66</v>
      </c>
      <c r="G12" s="7" t="s">
        <v>17</v>
      </c>
      <c r="H12">
        <v>16450</v>
      </c>
      <c r="I12" s="9">
        <v>0.13</v>
      </c>
      <c r="J12" s="10">
        <f t="shared" si="0"/>
        <v>2138.5</v>
      </c>
      <c r="K12" s="10">
        <f t="shared" si="1"/>
        <v>18588.5</v>
      </c>
      <c r="L12" t="s">
        <v>40</v>
      </c>
    </row>
    <row r="13" spans="1:13">
      <c r="A13" t="s">
        <v>67</v>
      </c>
      <c r="B13" s="1" t="s">
        <v>68</v>
      </c>
      <c r="C13" s="1" t="s">
        <v>69</v>
      </c>
      <c r="D13" s="2">
        <v>45427</v>
      </c>
      <c r="E13" t="s">
        <v>70</v>
      </c>
      <c r="F13" s="1" t="s">
        <v>71</v>
      </c>
      <c r="G13" s="7" t="s">
        <v>17</v>
      </c>
      <c r="H13">
        <v>26500</v>
      </c>
      <c r="I13" s="9">
        <v>0.09</v>
      </c>
      <c r="J13" s="10">
        <f t="shared" si="0"/>
        <v>2385</v>
      </c>
      <c r="K13" s="10">
        <f t="shared" si="1"/>
        <v>28885</v>
      </c>
      <c r="L13" t="s">
        <v>40</v>
      </c>
    </row>
    <row r="14" spans="1:13">
      <c r="A14" t="s">
        <v>72</v>
      </c>
      <c r="B14" s="1" t="s">
        <v>73</v>
      </c>
      <c r="C14" s="1" t="s">
        <v>74</v>
      </c>
      <c r="D14" s="2">
        <v>45430</v>
      </c>
      <c r="E14" t="s">
        <v>75</v>
      </c>
      <c r="F14" s="1" t="s">
        <v>76</v>
      </c>
      <c r="G14" s="7" t="s">
        <v>17</v>
      </c>
      <c r="H14">
        <v>23000</v>
      </c>
      <c r="I14" s="9">
        <v>0.06</v>
      </c>
      <c r="J14" s="10">
        <f t="shared" si="0"/>
        <v>1380</v>
      </c>
      <c r="K14" s="10">
        <f t="shared" si="1"/>
        <v>24380</v>
      </c>
      <c r="L14" t="s">
        <v>40</v>
      </c>
    </row>
    <row r="15" spans="1:13">
      <c r="A15" t="s">
        <v>77</v>
      </c>
      <c r="B15" s="1" t="s">
        <v>78</v>
      </c>
      <c r="C15" s="1" t="s">
        <v>79</v>
      </c>
      <c r="D15" s="2">
        <v>45434</v>
      </c>
      <c r="E15" t="s">
        <v>80</v>
      </c>
      <c r="F15" s="1" t="s">
        <v>81</v>
      </c>
      <c r="G15" s="7" t="s">
        <v>17</v>
      </c>
      <c r="H15">
        <v>25200</v>
      </c>
      <c r="I15" s="9">
        <v>0.13</v>
      </c>
      <c r="J15" s="10">
        <f t="shared" si="0"/>
        <v>3276</v>
      </c>
      <c r="K15" s="10">
        <f t="shared" si="1"/>
        <v>28476</v>
      </c>
      <c r="L15" t="s">
        <v>40</v>
      </c>
    </row>
    <row r="16" spans="1:13">
      <c r="A16" t="s">
        <v>82</v>
      </c>
      <c r="B16" s="1" t="s">
        <v>21</v>
      </c>
      <c r="C16" s="1" t="s">
        <v>51</v>
      </c>
      <c r="D16" s="2">
        <v>45426</v>
      </c>
      <c r="E16" t="s">
        <v>83</v>
      </c>
      <c r="F16" s="1" t="s">
        <v>84</v>
      </c>
      <c r="G16" s="7" t="s">
        <v>17</v>
      </c>
      <c r="H16">
        <v>13200</v>
      </c>
      <c r="I16" s="9">
        <v>0.13</v>
      </c>
      <c r="J16" s="10">
        <f t="shared" si="0"/>
        <v>1716</v>
      </c>
      <c r="K16" s="10">
        <f t="shared" si="1"/>
        <v>14916</v>
      </c>
      <c r="L16" t="s">
        <v>40</v>
      </c>
    </row>
  </sheetData>
  <dataValidations count="1">
    <dataValidation type="list" allowBlank="1" showInputMessage="1" showErrorMessage="1" sqref="L2:L6 L7:L16">
      <formula1>"通过,异常"</formula1>
    </dataValidation>
  </dataValidations>
  <pageMargins left="0.7" right="0.7" top="0.75" bottom="0.75" header="0.3" footer="0.3"/>
  <pageSetup paperSize="9" orientation="portrait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3.5"/>
  <sheetData/>
  <pageMargins left="0.7" right="0.7" top="0.75" bottom="0.75" header="0.3" footer="0.3"/>
  <pageSetup paperSize="9" orientation="portrait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3.5"/>
  <sheetData/>
  <pageMargins left="0.7" right="0.7" top="0.75" bottom="0.75" header="0.3" footer="0.3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Huiling</dc:creator>
  <cp:lastModifiedBy>thl</cp:lastModifiedBy>
  <dcterms:created xsi:type="dcterms:W3CDTF">2023-05-12T11:15:00Z</dcterms:created>
  <dcterms:modified xsi:type="dcterms:W3CDTF">2026-09-10T05:02:43Z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2052-12.1.0.28505</vt:lpwstr>
  </property>
  <property fmtid="{D5CDD505-2E9C-101B-9397-08002B2CF9AE}" pid="3" name="ICV">
    <vt:lpwstr>A41688760851426DA5CC71A632BDAF78_12</vt:lpwstr>
  </property>
  <property fmtid="{D5CDD505-2E9C-101B-9397-08002B2CF9AE}" pid="4" name="CalculationRule">
    <vt:i4>0</vt:i4>
  </property>
</Properties>
</file>