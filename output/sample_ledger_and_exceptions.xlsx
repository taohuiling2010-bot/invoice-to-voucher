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分录台账" sheetId="1" state="visible" r:id="rId3"/>
    <sheet name="异常清单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<sst xmlns="http://schemas.openxmlformats.org/spreadsheetml/2006/main" count="172" uniqueCount="82">
  <si>
    <t xml:space="preserve">凭证号</t>
  </si>
  <si>
    <t xml:space="preserve">日期</t>
  </si>
  <si>
    <t xml:space="preserve">摘要</t>
  </si>
  <si>
    <t xml:space="preserve">科目</t>
  </si>
  <si>
    <t xml:space="preserve">借方金额</t>
  </si>
  <si>
    <t xml:space="preserve">贷方金额</t>
  </si>
  <si>
    <r>
      <rPr>
        <b val="true"/>
        <sz val="11"/>
        <color rgb="FFFFFFFF"/>
        <rFont val="Noto Sans CJK SC"/>
        <family val="2"/>
      </rPr>
      <t xml:space="preserve">发票代码</t>
    </r>
    <r>
      <rPr>
        <b val="true"/>
        <sz val="11"/>
        <color rgb="FFFFFFFF"/>
        <rFont val="微软雅黑"/>
        <family val="0"/>
        <charset val="1"/>
      </rPr>
      <t xml:space="preserve">-</t>
    </r>
    <r>
      <rPr>
        <b val="true"/>
        <sz val="11"/>
        <color rgb="FFFFFFFF"/>
        <rFont val="Noto Sans CJK SC"/>
        <family val="2"/>
      </rPr>
      <t xml:space="preserve">号码</t>
    </r>
  </si>
  <si>
    <r>
      <rPr>
        <sz val="11"/>
        <rFont val="Noto Sans CJK SC"/>
        <family val="2"/>
      </rPr>
      <t xml:space="preserve">记</t>
    </r>
    <r>
      <rPr>
        <sz val="11"/>
        <rFont val="微软雅黑"/>
        <family val="0"/>
        <charset val="1"/>
      </rPr>
      <t xml:space="preserve">-001</t>
    </r>
  </si>
  <si>
    <r>
      <rPr>
        <sz val="11"/>
        <rFont val="微软雅黑"/>
        <family val="0"/>
        <charset val="1"/>
      </rPr>
      <t xml:space="preserve">2024-05-06 </t>
    </r>
    <r>
      <rPr>
        <sz val="11"/>
        <rFont val="Noto Sans CJK SC"/>
        <family val="2"/>
      </rPr>
      <t xml:space="preserve">苏州卓信家具有限公司 发票</t>
    </r>
    <r>
      <rPr>
        <sz val="11"/>
        <rFont val="微软雅黑"/>
        <family val="0"/>
        <charset val="1"/>
      </rPr>
      <t xml:space="preserve">1100143161-01234568</t>
    </r>
  </si>
  <si>
    <t xml:space="preserve">管理费用—办公费</t>
  </si>
  <si>
    <t xml:space="preserve">1100143161-01234568</t>
  </si>
  <si>
    <t xml:space="preserve">应交税费—应交增值税（进项税额）</t>
  </si>
  <si>
    <t xml:space="preserve">应付账款—苏州卓信家具有限公司</t>
  </si>
  <si>
    <r>
      <rPr>
        <sz val="11"/>
        <rFont val="Noto Sans CJK SC"/>
        <family val="2"/>
      </rPr>
      <t xml:space="preserve">记</t>
    </r>
    <r>
      <rPr>
        <sz val="11"/>
        <rFont val="微软雅黑"/>
        <family val="0"/>
        <charset val="1"/>
      </rPr>
      <t xml:space="preserve">-002</t>
    </r>
  </si>
  <si>
    <r>
      <rPr>
        <sz val="11"/>
        <rFont val="微软雅黑"/>
        <family val="0"/>
        <charset val="1"/>
      </rPr>
      <t xml:space="preserve">2024-05-08 </t>
    </r>
    <r>
      <rPr>
        <sz val="11"/>
        <rFont val="Noto Sans CJK SC"/>
        <family val="2"/>
      </rPr>
      <t xml:space="preserve">北京筑诚工程服务有限公司 发票</t>
    </r>
    <r>
      <rPr>
        <sz val="11"/>
        <rFont val="微软雅黑"/>
        <family val="0"/>
        <charset val="1"/>
      </rPr>
      <t xml:space="preserve">1100143162-01234569</t>
    </r>
  </si>
  <si>
    <t xml:space="preserve">长期待摊费用—装修费</t>
  </si>
  <si>
    <t xml:space="preserve">1100143162-01234569</t>
  </si>
  <si>
    <t xml:space="preserve">应付账款—北京筑诚工程服务有限公司</t>
  </si>
  <si>
    <r>
      <rPr>
        <sz val="11"/>
        <rFont val="Noto Sans CJK SC"/>
        <family val="2"/>
      </rPr>
      <t xml:space="preserve">记</t>
    </r>
    <r>
      <rPr>
        <sz val="11"/>
        <rFont val="微软雅黑"/>
        <family val="0"/>
        <charset val="1"/>
      </rPr>
      <t xml:space="preserve">-003</t>
    </r>
  </si>
  <si>
    <r>
      <rPr>
        <sz val="11"/>
        <rFont val="微软雅黑"/>
        <family val="0"/>
        <charset val="1"/>
      </rPr>
      <t xml:space="preserve">2024-05-10 </t>
    </r>
    <r>
      <rPr>
        <sz val="11"/>
        <rFont val="Noto Sans CJK SC"/>
        <family val="2"/>
      </rPr>
      <t xml:space="preserve">广州云衡信息技术有限公司 发票</t>
    </r>
    <r>
      <rPr>
        <sz val="11"/>
        <rFont val="微软雅黑"/>
        <family val="0"/>
        <charset val="1"/>
      </rPr>
      <t xml:space="preserve">1100143163-01234570</t>
    </r>
  </si>
  <si>
    <t xml:space="preserve">管理费用—服务费</t>
  </si>
  <si>
    <t xml:space="preserve">1100143163-01234570</t>
  </si>
  <si>
    <t xml:space="preserve">应付账款—广州云衡信息技术有限公司</t>
  </si>
  <si>
    <r>
      <rPr>
        <sz val="11"/>
        <rFont val="Noto Sans CJK SC"/>
        <family val="2"/>
      </rPr>
      <t xml:space="preserve">记</t>
    </r>
    <r>
      <rPr>
        <sz val="11"/>
        <rFont val="微软雅黑"/>
        <family val="0"/>
        <charset val="1"/>
      </rPr>
      <t xml:space="preserve">-004</t>
    </r>
  </si>
  <si>
    <r>
      <rPr>
        <sz val="11"/>
        <rFont val="微软雅黑"/>
        <family val="0"/>
        <charset val="1"/>
      </rPr>
      <t xml:space="preserve">2024-05-13 </t>
    </r>
    <r>
      <rPr>
        <sz val="11"/>
        <rFont val="Noto Sans CJK SC"/>
        <family val="2"/>
      </rPr>
      <t xml:space="preserve">深圳恒瑞办公耗材有限公司 发票</t>
    </r>
    <r>
      <rPr>
        <sz val="11"/>
        <rFont val="微软雅黑"/>
        <family val="0"/>
        <charset val="1"/>
      </rPr>
      <t xml:space="preserve">1100143164-01234571</t>
    </r>
  </si>
  <si>
    <t xml:space="preserve">1100143164-01234571</t>
  </si>
  <si>
    <t xml:space="preserve">应付账款—深圳恒瑞办公耗材有限公司</t>
  </si>
  <si>
    <r>
      <rPr>
        <sz val="11"/>
        <rFont val="Noto Sans CJK SC"/>
        <family val="2"/>
      </rPr>
      <t xml:space="preserve">记</t>
    </r>
    <r>
      <rPr>
        <sz val="11"/>
        <rFont val="微软雅黑"/>
        <family val="0"/>
        <charset val="1"/>
      </rPr>
      <t xml:space="preserve">-005</t>
    </r>
  </si>
  <si>
    <r>
      <rPr>
        <sz val="11"/>
        <rFont val="微软雅黑"/>
        <family val="0"/>
        <charset val="1"/>
      </rPr>
      <t xml:space="preserve">2024-05-15 </t>
    </r>
    <r>
      <rPr>
        <sz val="11"/>
        <rFont val="Noto Sans CJK SC"/>
        <family val="2"/>
      </rPr>
      <t xml:space="preserve">天津安厦建筑工程有限公司 发票</t>
    </r>
    <r>
      <rPr>
        <sz val="11"/>
        <rFont val="微软雅黑"/>
        <family val="0"/>
        <charset val="1"/>
      </rPr>
      <t xml:space="preserve">1100143165-01234572</t>
    </r>
  </si>
  <si>
    <t xml:space="preserve">1100143165-01234572</t>
  </si>
  <si>
    <t xml:space="preserve">应付账款—天津安厦建筑工程有限公司</t>
  </si>
  <si>
    <r>
      <rPr>
        <sz val="11"/>
        <rFont val="Noto Sans CJK SC"/>
        <family val="2"/>
      </rPr>
      <t xml:space="preserve">记</t>
    </r>
    <r>
      <rPr>
        <sz val="11"/>
        <rFont val="微软雅黑"/>
        <family val="0"/>
        <charset val="1"/>
      </rPr>
      <t xml:space="preserve">-006</t>
    </r>
  </si>
  <si>
    <r>
      <rPr>
        <sz val="11"/>
        <rFont val="微软雅黑"/>
        <family val="0"/>
        <charset val="1"/>
      </rPr>
      <t xml:space="preserve">2024-05-15 </t>
    </r>
    <r>
      <rPr>
        <sz val="11"/>
        <rFont val="Noto Sans CJK SC"/>
        <family val="2"/>
      </rPr>
      <t xml:space="preserve">北京华创办公设备有限公司 发票</t>
    </r>
    <r>
      <rPr>
        <sz val="11"/>
        <rFont val="微软雅黑"/>
        <family val="0"/>
        <charset val="1"/>
      </rPr>
      <t xml:space="preserve">1100143160-01234568</t>
    </r>
  </si>
  <si>
    <t xml:space="preserve">1100143160-01234568</t>
  </si>
  <si>
    <t xml:space="preserve">应付账款—北京华创办公设备有限公司</t>
  </si>
  <si>
    <r>
      <rPr>
        <sz val="11"/>
        <rFont val="Noto Sans CJK SC"/>
        <family val="2"/>
      </rPr>
      <t xml:space="preserve">记</t>
    </r>
    <r>
      <rPr>
        <sz val="11"/>
        <rFont val="微软雅黑"/>
        <family val="0"/>
        <charset val="1"/>
      </rPr>
      <t xml:space="preserve">-007</t>
    </r>
  </si>
  <si>
    <r>
      <rPr>
        <sz val="11"/>
        <rFont val="微软雅黑"/>
        <family val="0"/>
        <charset val="1"/>
      </rPr>
      <t xml:space="preserve">2024-05-16 </t>
    </r>
    <r>
      <rPr>
        <sz val="11"/>
        <rFont val="Noto Sans CJK SC"/>
        <family val="2"/>
      </rPr>
      <t xml:space="preserve">上海智创信息技术有限公司 发票</t>
    </r>
    <r>
      <rPr>
        <sz val="11"/>
        <rFont val="微软雅黑"/>
        <family val="0"/>
        <charset val="1"/>
      </rPr>
      <t xml:space="preserve">1100143160-01234576</t>
    </r>
  </si>
  <si>
    <t xml:space="preserve">1100143160-01234576</t>
  </si>
  <si>
    <t xml:space="preserve">应付账款—上海智创信息技术有限公司</t>
  </si>
  <si>
    <r>
      <rPr>
        <sz val="11"/>
        <rFont val="Noto Sans CJK SC"/>
        <family val="2"/>
      </rPr>
      <t xml:space="preserve">记</t>
    </r>
    <r>
      <rPr>
        <sz val="11"/>
        <rFont val="微软雅黑"/>
        <family val="0"/>
        <charset val="1"/>
      </rPr>
      <t xml:space="preserve">-008</t>
    </r>
  </si>
  <si>
    <r>
      <rPr>
        <sz val="11"/>
        <rFont val="微软雅黑"/>
        <family val="0"/>
        <charset val="1"/>
      </rPr>
      <t xml:space="preserve">2024-05-18 </t>
    </r>
    <r>
      <rPr>
        <sz val="11"/>
        <rFont val="Noto Sans CJK SC"/>
        <family val="2"/>
      </rPr>
      <t xml:space="preserve">杭州智维咨询科技有限公司 发票</t>
    </r>
    <r>
      <rPr>
        <sz val="11"/>
        <rFont val="微软雅黑"/>
        <family val="0"/>
        <charset val="1"/>
      </rPr>
      <t xml:space="preserve">1100143166-01234573</t>
    </r>
  </si>
  <si>
    <t xml:space="preserve">1100143166-01234573</t>
  </si>
  <si>
    <t xml:space="preserve">应付账款—杭州智维咨询科技有限公司</t>
  </si>
  <si>
    <r>
      <rPr>
        <sz val="11"/>
        <rFont val="Noto Sans CJK SC"/>
        <family val="2"/>
      </rPr>
      <t xml:space="preserve">记</t>
    </r>
    <r>
      <rPr>
        <sz val="11"/>
        <rFont val="微软雅黑"/>
        <family val="0"/>
        <charset val="1"/>
      </rPr>
      <t xml:space="preserve">-009</t>
    </r>
  </si>
  <si>
    <r>
      <rPr>
        <sz val="11"/>
        <rFont val="微软雅黑"/>
        <family val="0"/>
        <charset val="1"/>
      </rPr>
      <t xml:space="preserve">2024-05-20 </t>
    </r>
    <r>
      <rPr>
        <sz val="11"/>
        <rFont val="Noto Sans CJK SC"/>
        <family val="2"/>
      </rPr>
      <t xml:space="preserve">上海远景办公设备有限公司 发票</t>
    </r>
    <r>
      <rPr>
        <sz val="11"/>
        <rFont val="微软雅黑"/>
        <family val="0"/>
        <charset val="1"/>
      </rPr>
      <t xml:space="preserve">1100143160-01234567</t>
    </r>
  </si>
  <si>
    <t xml:space="preserve">1100143160-01234567</t>
  </si>
  <si>
    <t xml:space="preserve">应付账款—上海远景办公设备有限公司</t>
  </si>
  <si>
    <r>
      <rPr>
        <sz val="11"/>
        <rFont val="Noto Sans CJK SC"/>
        <family val="2"/>
      </rPr>
      <t xml:space="preserve">记</t>
    </r>
    <r>
      <rPr>
        <sz val="11"/>
        <rFont val="微软雅黑"/>
        <family val="0"/>
        <charset val="1"/>
      </rPr>
      <t xml:space="preserve">-010</t>
    </r>
  </si>
  <si>
    <r>
      <rPr>
        <sz val="11"/>
        <rFont val="微软雅黑"/>
        <family val="0"/>
        <charset val="1"/>
      </rPr>
      <t xml:space="preserve">2024-05-22 </t>
    </r>
    <r>
      <rPr>
        <sz val="11"/>
        <rFont val="Noto Sans CJK SC"/>
        <family val="2"/>
      </rPr>
      <t xml:space="preserve">宁波启航数码设备有限公司 发票</t>
    </r>
    <r>
      <rPr>
        <sz val="11"/>
        <rFont val="微软雅黑"/>
        <family val="0"/>
        <charset val="1"/>
      </rPr>
      <t xml:space="preserve">1100143167-01234574</t>
    </r>
  </si>
  <si>
    <t xml:space="preserve">1100143167-01234574</t>
  </si>
  <si>
    <t xml:space="preserve">应付账款—宁波启航数码设备有限公司</t>
  </si>
  <si>
    <r>
      <rPr>
        <sz val="11"/>
        <rFont val="Noto Sans CJK SC"/>
        <family val="2"/>
      </rPr>
      <t xml:space="preserve">记</t>
    </r>
    <r>
      <rPr>
        <sz val="11"/>
        <rFont val="微软雅黑"/>
        <family val="0"/>
        <charset val="1"/>
      </rPr>
      <t xml:space="preserve">-011</t>
    </r>
  </si>
  <si>
    <r>
      <rPr>
        <sz val="11"/>
        <rFont val="微软雅黑"/>
        <family val="0"/>
        <charset val="1"/>
      </rPr>
      <t xml:space="preserve">2024-05-27 </t>
    </r>
    <r>
      <rPr>
        <sz val="11"/>
        <rFont val="Noto Sans CJK SC"/>
        <family val="2"/>
      </rPr>
      <t xml:space="preserve">北京筑诚工程服务有限公司 发票</t>
    </r>
    <r>
      <rPr>
        <sz val="11"/>
        <rFont val="微软雅黑"/>
        <family val="0"/>
        <charset val="1"/>
      </rPr>
      <t xml:space="preserve">1100143168-01234575</t>
    </r>
  </si>
  <si>
    <t xml:space="preserve">1100143168-01234575</t>
  </si>
  <si>
    <t xml:space="preserve">合计</t>
  </si>
  <si>
    <t xml:space="preserve">借贷平衡检查</t>
  </si>
  <si>
    <r>
      <rPr>
        <sz val="9"/>
        <color rgb="FF7F7F7F"/>
        <rFont val="Noto Sans CJK SC"/>
        <family val="2"/>
      </rPr>
      <t xml:space="preserve">说明：本表由工作流 </t>
    </r>
    <r>
      <rPr>
        <sz val="9"/>
        <color rgb="FF7F7F7F"/>
        <rFont val="微软雅黑"/>
        <family val="0"/>
        <charset val="1"/>
      </rPr>
      <t xml:space="preserve">invoice_to_voucher </t>
    </r>
    <r>
      <rPr>
        <sz val="9"/>
        <color rgb="FF7F7F7F"/>
        <rFont val="Noto Sans CJK SC"/>
        <family val="2"/>
      </rPr>
      <t xml:space="preserve">对 </t>
    </r>
    <r>
      <rPr>
        <sz val="9"/>
        <color rgb="FF7F7F7F"/>
        <rFont val="微软雅黑"/>
        <family val="0"/>
        <charset val="1"/>
      </rPr>
      <t xml:space="preserve">15 </t>
    </r>
    <r>
      <rPr>
        <sz val="9"/>
        <color rgb="FF7F7F7F"/>
        <rFont val="Noto Sans CJK SC"/>
        <family val="2"/>
      </rPr>
      <t xml:space="preserve">张样例发票的运行结果汇总生成；科目来自映射表，进项税额与应付账款科目固定；发票与数据均为教学示例，非真实凭证。</t>
    </r>
  </si>
  <si>
    <t xml:space="preserve">序号</t>
  </si>
  <si>
    <t xml:space="preserve">文件名</t>
  </si>
  <si>
    <t xml:space="preserve">开票日期</t>
  </si>
  <si>
    <t xml:space="preserve">销方名称</t>
  </si>
  <si>
    <t xml:space="preserve">金额</t>
  </si>
  <si>
    <t xml:space="preserve">价税合计</t>
  </si>
  <si>
    <t xml:space="preserve">异常原因</t>
  </si>
  <si>
    <t xml:space="preserve">处理状态</t>
  </si>
  <si>
    <r>
      <rPr>
        <sz val="11"/>
        <rFont val="Noto Sans CJK SC"/>
        <family val="2"/>
      </rPr>
      <t xml:space="preserve">错误发票</t>
    </r>
    <r>
      <rPr>
        <sz val="11"/>
        <rFont val="微软雅黑"/>
        <family val="0"/>
        <charset val="1"/>
      </rPr>
      <t xml:space="preserve">_</t>
    </r>
    <r>
      <rPr>
        <sz val="11"/>
        <rFont val="Noto Sans CJK SC"/>
        <family val="2"/>
      </rPr>
      <t xml:space="preserve">价税合计</t>
    </r>
  </si>
  <si>
    <t xml:space="preserve">2024060201-2024060201</t>
  </si>
  <si>
    <t xml:space="preserve">上海启越办公设备有限公司</t>
  </si>
  <si>
    <t xml:space="preserve">价税合计不符</t>
  </si>
  <si>
    <t xml:space="preserve">待人工复核</t>
  </si>
  <si>
    <r>
      <rPr>
        <sz val="11"/>
        <rFont val="Noto Sans CJK SC"/>
        <family val="2"/>
      </rPr>
      <t xml:space="preserve">错误发票</t>
    </r>
    <r>
      <rPr>
        <sz val="11"/>
        <rFont val="微软雅黑"/>
        <family val="0"/>
        <charset val="1"/>
      </rPr>
      <t xml:space="preserve">_</t>
    </r>
    <r>
      <rPr>
        <sz val="11"/>
        <rFont val="Noto Sans CJK SC"/>
        <family val="2"/>
      </rPr>
      <t xml:space="preserve">税率错误</t>
    </r>
  </si>
  <si>
    <t xml:space="preserve">2024060202-2024060202</t>
  </si>
  <si>
    <t xml:space="preserve">苏州博远电子有限公司</t>
  </si>
  <si>
    <t xml:space="preserve">税率非法</t>
  </si>
  <si>
    <r>
      <rPr>
        <sz val="11"/>
        <rFont val="Noto Sans CJK SC"/>
        <family val="2"/>
      </rPr>
      <t xml:space="preserve">错误发票</t>
    </r>
    <r>
      <rPr>
        <sz val="11"/>
        <rFont val="微软雅黑"/>
        <family val="0"/>
        <charset val="1"/>
      </rPr>
      <t xml:space="preserve">_</t>
    </r>
    <r>
      <rPr>
        <sz val="11"/>
        <rFont val="Noto Sans CJK SC"/>
        <family val="2"/>
      </rPr>
      <t xml:space="preserve">号码重复</t>
    </r>
  </si>
  <si>
    <t xml:space="preserve">天津卓信办公科技有限公司</t>
  </si>
  <si>
    <t xml:space="preserve">号码重复</t>
  </si>
  <si>
    <r>
      <rPr>
        <sz val="11"/>
        <rFont val="Noto Sans CJK SC"/>
        <family val="2"/>
      </rPr>
      <t xml:space="preserve">错误发票</t>
    </r>
    <r>
      <rPr>
        <sz val="11"/>
        <rFont val="微软雅黑"/>
        <family val="0"/>
        <charset val="1"/>
      </rPr>
      <t xml:space="preserve">_</t>
    </r>
    <r>
      <rPr>
        <sz val="11"/>
        <rFont val="Noto Sans CJK SC"/>
        <family val="2"/>
      </rPr>
      <t xml:space="preserve">税额错误</t>
    </r>
  </si>
  <si>
    <t xml:space="preserve">110102345678-87654321</t>
  </si>
  <si>
    <t xml:space="preserve">北京恒信办公设备有限公司</t>
  </si>
  <si>
    <t xml:space="preserve">税额不符</t>
  </si>
  <si>
    <r>
      <rPr>
        <sz val="9"/>
        <color rgb="FF7F7F7F"/>
        <rFont val="Noto Sans CJK SC"/>
        <family val="2"/>
      </rPr>
      <t xml:space="preserve">说明：异常票不生成分录，路由至本清单等待人工复核；原因取值固定为四类：税额不符 </t>
    </r>
    <r>
      <rPr>
        <sz val="9"/>
        <color rgb="FF7F7F7F"/>
        <rFont val="微软雅黑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价税合计不符 </t>
    </r>
    <r>
      <rPr>
        <sz val="9"/>
        <color rgb="FF7F7F7F"/>
        <rFont val="微软雅黑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税率非法 </t>
    </r>
    <r>
      <rPr>
        <sz val="9"/>
        <color rgb="FF7F7F7F"/>
        <rFont val="微软雅黑"/>
        <family val="0"/>
        <charset val="1"/>
      </rPr>
      <t xml:space="preserve">/ </t>
    </r>
    <r>
      <rPr>
        <sz val="9"/>
        <color rgb="FF7F7F7F"/>
        <rFont val="Noto Sans CJK SC"/>
        <family val="2"/>
      </rPr>
      <t xml:space="preserve">号码重复。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</si>
</sst>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微软雅黑"/>
      <family val="0"/>
      <charset val="1"/>
    </font>
    <font>
      <sz val="11"/>
      <name val="Noto Sans CJK SC"/>
      <family val="2"/>
    </font>
    <font>
      <sz val="11"/>
      <name val="微软雅黑"/>
      <family val="0"/>
      <charset val="1"/>
    </font>
    <font>
      <b val="true"/>
      <sz val="11"/>
      <name val="Noto Sans CJK SC"/>
      <family val="2"/>
    </font>
    <font>
      <b val="true"/>
      <sz val="11"/>
      <name val="微软雅黑"/>
      <family val="0"/>
      <charset val="1"/>
    </font>
    <font>
      <i val="true"/>
      <sz val="11"/>
      <name val="Noto Sans CJK SC"/>
      <family val="2"/>
    </font>
    <font>
      <sz val="9"/>
      <color rgb="FF7F7F7F"/>
      <name val="Noto Sans CJK SC"/>
      <family val="2"/>
    </font>
    <font>
      <sz val="9"/>
      <color rgb="FF7F7F7F"/>
      <name val="微软雅黑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34"/>
    <col collapsed="false" customWidth="true" hidden="false" outlineLevel="0" max="6" min="5" style="0" width="14"/>
    <col collapsed="false" customWidth="true" hidden="false" outlineLevel="0" max="7" min="7" style="0" width="22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7.15" hidden="false" customHeight="false" outlineLevel="0" collapsed="false">
      <c r="A2" s="2" t="s">
        <v>7</v>
      </c>
      <c r="B2" s="3" t="n">
        <v>45418</v>
      </c>
      <c r="C2" s="4" t="s">
        <v>8</v>
      </c>
      <c r="D2" s="2" t="s">
        <v>9</v>
      </c>
      <c r="E2" s="5" t="n">
        <v>16320</v>
      </c>
      <c r="F2" s="5"/>
      <c r="G2" s="4" t="s">
        <v>10</v>
      </c>
    </row>
    <row r="3" customFormat="false" ht="17.15" hidden="false" customHeight="false" outlineLevel="0" collapsed="false">
      <c r="A3" s="2" t="s">
        <v>7</v>
      </c>
      <c r="B3" s="3" t="n">
        <v>45418</v>
      </c>
      <c r="C3" s="4" t="s">
        <v>8</v>
      </c>
      <c r="D3" s="2" t="s">
        <v>11</v>
      </c>
      <c r="E3" s="5" t="n">
        <v>2121.6</v>
      </c>
      <c r="F3" s="5"/>
      <c r="G3" s="4" t="s">
        <v>10</v>
      </c>
    </row>
    <row r="4" customFormat="false" ht="17.15" hidden="false" customHeight="false" outlineLevel="0" collapsed="false">
      <c r="A4" s="2" t="s">
        <v>7</v>
      </c>
      <c r="B4" s="3" t="n">
        <v>45418</v>
      </c>
      <c r="C4" s="4" t="s">
        <v>8</v>
      </c>
      <c r="D4" s="2" t="s">
        <v>12</v>
      </c>
      <c r="E4" s="5"/>
      <c r="F4" s="5" t="n">
        <v>18441.6</v>
      </c>
      <c r="G4" s="4" t="s">
        <v>10</v>
      </c>
    </row>
    <row r="5" customFormat="false" ht="17.15" hidden="false" customHeight="false" outlineLevel="0" collapsed="false">
      <c r="A5" s="2" t="s">
        <v>13</v>
      </c>
      <c r="B5" s="3" t="n">
        <v>45420</v>
      </c>
      <c r="C5" s="4" t="s">
        <v>14</v>
      </c>
      <c r="D5" s="2" t="s">
        <v>15</v>
      </c>
      <c r="E5" s="5" t="n">
        <v>40000</v>
      </c>
      <c r="F5" s="5"/>
      <c r="G5" s="4" t="s">
        <v>16</v>
      </c>
    </row>
    <row r="6" customFormat="false" ht="17.15" hidden="false" customHeight="false" outlineLevel="0" collapsed="false">
      <c r="A6" s="2" t="s">
        <v>13</v>
      </c>
      <c r="B6" s="3" t="n">
        <v>45420</v>
      </c>
      <c r="C6" s="4" t="s">
        <v>14</v>
      </c>
      <c r="D6" s="2" t="s">
        <v>11</v>
      </c>
      <c r="E6" s="5" t="n">
        <v>3600</v>
      </c>
      <c r="F6" s="5"/>
      <c r="G6" s="4" t="s">
        <v>16</v>
      </c>
    </row>
    <row r="7" customFormat="false" ht="17.15" hidden="false" customHeight="false" outlineLevel="0" collapsed="false">
      <c r="A7" s="2" t="s">
        <v>13</v>
      </c>
      <c r="B7" s="3" t="n">
        <v>45420</v>
      </c>
      <c r="C7" s="4" t="s">
        <v>14</v>
      </c>
      <c r="D7" s="2" t="s">
        <v>17</v>
      </c>
      <c r="E7" s="5"/>
      <c r="F7" s="5" t="n">
        <v>43600</v>
      </c>
      <c r="G7" s="4" t="s">
        <v>16</v>
      </c>
    </row>
    <row r="8" customFormat="false" ht="17.15" hidden="false" customHeight="false" outlineLevel="0" collapsed="false">
      <c r="A8" s="2" t="s">
        <v>18</v>
      </c>
      <c r="B8" s="3" t="n">
        <v>45422</v>
      </c>
      <c r="C8" s="4" t="s">
        <v>19</v>
      </c>
      <c r="D8" s="2" t="s">
        <v>20</v>
      </c>
      <c r="E8" s="5" t="n">
        <v>18800</v>
      </c>
      <c r="F8" s="5"/>
      <c r="G8" s="4" t="s">
        <v>21</v>
      </c>
    </row>
    <row r="9" customFormat="false" ht="17.15" hidden="false" customHeight="false" outlineLevel="0" collapsed="false">
      <c r="A9" s="2" t="s">
        <v>18</v>
      </c>
      <c r="B9" s="3" t="n">
        <v>45422</v>
      </c>
      <c r="C9" s="4" t="s">
        <v>19</v>
      </c>
      <c r="D9" s="2" t="s">
        <v>11</v>
      </c>
      <c r="E9" s="5" t="n">
        <v>1128</v>
      </c>
      <c r="F9" s="5"/>
      <c r="G9" s="4" t="s">
        <v>21</v>
      </c>
    </row>
    <row r="10" customFormat="false" ht="17.15" hidden="false" customHeight="false" outlineLevel="0" collapsed="false">
      <c r="A10" s="2" t="s">
        <v>18</v>
      </c>
      <c r="B10" s="3" t="n">
        <v>45422</v>
      </c>
      <c r="C10" s="4" t="s">
        <v>19</v>
      </c>
      <c r="D10" s="2" t="s">
        <v>22</v>
      </c>
      <c r="E10" s="5"/>
      <c r="F10" s="5" t="n">
        <v>19928</v>
      </c>
      <c r="G10" s="4" t="s">
        <v>21</v>
      </c>
    </row>
    <row r="11" customFormat="false" ht="17.15" hidden="false" customHeight="false" outlineLevel="0" collapsed="false">
      <c r="A11" s="2" t="s">
        <v>23</v>
      </c>
      <c r="B11" s="3" t="n">
        <v>45425</v>
      </c>
      <c r="C11" s="4" t="s">
        <v>24</v>
      </c>
      <c r="D11" s="2" t="s">
        <v>9</v>
      </c>
      <c r="E11" s="5" t="n">
        <v>16450</v>
      </c>
      <c r="F11" s="5"/>
      <c r="G11" s="4" t="s">
        <v>25</v>
      </c>
    </row>
    <row r="12" customFormat="false" ht="17.15" hidden="false" customHeight="false" outlineLevel="0" collapsed="false">
      <c r="A12" s="2" t="s">
        <v>23</v>
      </c>
      <c r="B12" s="3" t="n">
        <v>45425</v>
      </c>
      <c r="C12" s="4" t="s">
        <v>24</v>
      </c>
      <c r="D12" s="2" t="s">
        <v>11</v>
      </c>
      <c r="E12" s="5" t="n">
        <v>2138.5</v>
      </c>
      <c r="F12" s="5"/>
      <c r="G12" s="4" t="s">
        <v>25</v>
      </c>
    </row>
    <row r="13" customFormat="false" ht="17.15" hidden="false" customHeight="false" outlineLevel="0" collapsed="false">
      <c r="A13" s="2" t="s">
        <v>23</v>
      </c>
      <c r="B13" s="3" t="n">
        <v>45425</v>
      </c>
      <c r="C13" s="4" t="s">
        <v>24</v>
      </c>
      <c r="D13" s="2" t="s">
        <v>26</v>
      </c>
      <c r="E13" s="5"/>
      <c r="F13" s="5" t="n">
        <v>18588.5</v>
      </c>
      <c r="G13" s="4" t="s">
        <v>25</v>
      </c>
    </row>
    <row r="14" customFormat="false" ht="17.15" hidden="false" customHeight="false" outlineLevel="0" collapsed="false">
      <c r="A14" s="2" t="s">
        <v>27</v>
      </c>
      <c r="B14" s="3" t="n">
        <v>45427</v>
      </c>
      <c r="C14" s="4" t="s">
        <v>28</v>
      </c>
      <c r="D14" s="2" t="s">
        <v>15</v>
      </c>
      <c r="E14" s="5" t="n">
        <v>26500</v>
      </c>
      <c r="F14" s="5"/>
      <c r="G14" s="4" t="s">
        <v>29</v>
      </c>
    </row>
    <row r="15" customFormat="false" ht="17.15" hidden="false" customHeight="false" outlineLevel="0" collapsed="false">
      <c r="A15" s="2" t="s">
        <v>27</v>
      </c>
      <c r="B15" s="3" t="n">
        <v>45427</v>
      </c>
      <c r="C15" s="4" t="s">
        <v>28</v>
      </c>
      <c r="D15" s="2" t="s">
        <v>11</v>
      </c>
      <c r="E15" s="5" t="n">
        <v>2385</v>
      </c>
      <c r="F15" s="5"/>
      <c r="G15" s="4" t="s">
        <v>29</v>
      </c>
    </row>
    <row r="16" customFormat="false" ht="17.15" hidden="false" customHeight="false" outlineLevel="0" collapsed="false">
      <c r="A16" s="2" t="s">
        <v>27</v>
      </c>
      <c r="B16" s="3" t="n">
        <v>45427</v>
      </c>
      <c r="C16" s="4" t="s">
        <v>28</v>
      </c>
      <c r="D16" s="2" t="s">
        <v>30</v>
      </c>
      <c r="E16" s="5"/>
      <c r="F16" s="5" t="n">
        <v>28885</v>
      </c>
      <c r="G16" s="4" t="s">
        <v>29</v>
      </c>
    </row>
    <row r="17" customFormat="false" ht="17.15" hidden="false" customHeight="false" outlineLevel="0" collapsed="false">
      <c r="A17" s="2" t="s">
        <v>31</v>
      </c>
      <c r="B17" s="3" t="n">
        <v>45427</v>
      </c>
      <c r="C17" s="4" t="s">
        <v>32</v>
      </c>
      <c r="D17" s="2" t="s">
        <v>9</v>
      </c>
      <c r="E17" s="5" t="n">
        <v>13200</v>
      </c>
      <c r="F17" s="5"/>
      <c r="G17" s="4" t="s">
        <v>33</v>
      </c>
    </row>
    <row r="18" customFormat="false" ht="17.15" hidden="false" customHeight="false" outlineLevel="0" collapsed="false">
      <c r="A18" s="2" t="s">
        <v>31</v>
      </c>
      <c r="B18" s="3" t="n">
        <v>45427</v>
      </c>
      <c r="C18" s="4" t="s">
        <v>32</v>
      </c>
      <c r="D18" s="2" t="s">
        <v>11</v>
      </c>
      <c r="E18" s="5" t="n">
        <v>1716</v>
      </c>
      <c r="F18" s="5"/>
      <c r="G18" s="4" t="s">
        <v>33</v>
      </c>
    </row>
    <row r="19" customFormat="false" ht="17.15" hidden="false" customHeight="false" outlineLevel="0" collapsed="false">
      <c r="A19" s="2" t="s">
        <v>31</v>
      </c>
      <c r="B19" s="3" t="n">
        <v>45427</v>
      </c>
      <c r="C19" s="4" t="s">
        <v>32</v>
      </c>
      <c r="D19" s="2" t="s">
        <v>34</v>
      </c>
      <c r="E19" s="5"/>
      <c r="F19" s="5" t="n">
        <v>14916</v>
      </c>
      <c r="G19" s="4" t="s">
        <v>33</v>
      </c>
    </row>
    <row r="20" customFormat="false" ht="17.15" hidden="false" customHeight="false" outlineLevel="0" collapsed="false">
      <c r="A20" s="2" t="s">
        <v>35</v>
      </c>
      <c r="B20" s="3" t="n">
        <v>45428</v>
      </c>
      <c r="C20" s="4" t="s">
        <v>36</v>
      </c>
      <c r="D20" s="2" t="s">
        <v>20</v>
      </c>
      <c r="E20" s="5" t="n">
        <v>84905.66</v>
      </c>
      <c r="F20" s="5"/>
      <c r="G20" s="4" t="s">
        <v>37</v>
      </c>
    </row>
    <row r="21" customFormat="false" ht="17.15" hidden="false" customHeight="false" outlineLevel="0" collapsed="false">
      <c r="A21" s="2" t="s">
        <v>35</v>
      </c>
      <c r="B21" s="3" t="n">
        <v>45428</v>
      </c>
      <c r="C21" s="4" t="s">
        <v>36</v>
      </c>
      <c r="D21" s="2" t="s">
        <v>11</v>
      </c>
      <c r="E21" s="5" t="n">
        <v>5094.34</v>
      </c>
      <c r="F21" s="5"/>
      <c r="G21" s="4" t="s">
        <v>37</v>
      </c>
    </row>
    <row r="22" customFormat="false" ht="17.15" hidden="false" customHeight="false" outlineLevel="0" collapsed="false">
      <c r="A22" s="2" t="s">
        <v>35</v>
      </c>
      <c r="B22" s="3" t="n">
        <v>45428</v>
      </c>
      <c r="C22" s="4" t="s">
        <v>36</v>
      </c>
      <c r="D22" s="2" t="s">
        <v>38</v>
      </c>
      <c r="E22" s="5"/>
      <c r="F22" s="5" t="n">
        <v>90000</v>
      </c>
      <c r="G22" s="4" t="s">
        <v>37</v>
      </c>
    </row>
    <row r="23" customFormat="false" ht="17.15" hidden="false" customHeight="false" outlineLevel="0" collapsed="false">
      <c r="A23" s="2" t="s">
        <v>39</v>
      </c>
      <c r="B23" s="3" t="n">
        <v>45430</v>
      </c>
      <c r="C23" s="4" t="s">
        <v>40</v>
      </c>
      <c r="D23" s="2" t="s">
        <v>20</v>
      </c>
      <c r="E23" s="5" t="n">
        <v>23000</v>
      </c>
      <c r="F23" s="5"/>
      <c r="G23" s="4" t="s">
        <v>41</v>
      </c>
    </row>
    <row r="24" customFormat="false" ht="17.15" hidden="false" customHeight="false" outlineLevel="0" collapsed="false">
      <c r="A24" s="2" t="s">
        <v>39</v>
      </c>
      <c r="B24" s="3" t="n">
        <v>45430</v>
      </c>
      <c r="C24" s="4" t="s">
        <v>40</v>
      </c>
      <c r="D24" s="2" t="s">
        <v>11</v>
      </c>
      <c r="E24" s="5" t="n">
        <v>1380</v>
      </c>
      <c r="F24" s="5"/>
      <c r="G24" s="4" t="s">
        <v>41</v>
      </c>
    </row>
    <row r="25" customFormat="false" ht="17.15" hidden="false" customHeight="false" outlineLevel="0" collapsed="false">
      <c r="A25" s="2" t="s">
        <v>39</v>
      </c>
      <c r="B25" s="3" t="n">
        <v>45430</v>
      </c>
      <c r="C25" s="4" t="s">
        <v>40</v>
      </c>
      <c r="D25" s="2" t="s">
        <v>42</v>
      </c>
      <c r="E25" s="5"/>
      <c r="F25" s="5" t="n">
        <v>24380</v>
      </c>
      <c r="G25" s="4" t="s">
        <v>41</v>
      </c>
    </row>
    <row r="26" customFormat="false" ht="17.15" hidden="false" customHeight="false" outlineLevel="0" collapsed="false">
      <c r="A26" s="2" t="s">
        <v>43</v>
      </c>
      <c r="B26" s="3" t="n">
        <v>45432</v>
      </c>
      <c r="C26" s="4" t="s">
        <v>44</v>
      </c>
      <c r="D26" s="2" t="s">
        <v>9</v>
      </c>
      <c r="E26" s="5" t="n">
        <v>46200</v>
      </c>
      <c r="F26" s="5"/>
      <c r="G26" s="4" t="s">
        <v>45</v>
      </c>
    </row>
    <row r="27" customFormat="false" ht="17.15" hidden="false" customHeight="false" outlineLevel="0" collapsed="false">
      <c r="A27" s="2" t="s">
        <v>43</v>
      </c>
      <c r="B27" s="3" t="n">
        <v>45432</v>
      </c>
      <c r="C27" s="4" t="s">
        <v>44</v>
      </c>
      <c r="D27" s="2" t="s">
        <v>11</v>
      </c>
      <c r="E27" s="5" t="n">
        <v>6006</v>
      </c>
      <c r="F27" s="5"/>
      <c r="G27" s="4" t="s">
        <v>45</v>
      </c>
    </row>
    <row r="28" customFormat="false" ht="17.15" hidden="false" customHeight="false" outlineLevel="0" collapsed="false">
      <c r="A28" s="2" t="s">
        <v>43</v>
      </c>
      <c r="B28" s="3" t="n">
        <v>45432</v>
      </c>
      <c r="C28" s="4" t="s">
        <v>44</v>
      </c>
      <c r="D28" s="2" t="s">
        <v>46</v>
      </c>
      <c r="E28" s="5"/>
      <c r="F28" s="5" t="n">
        <v>52206</v>
      </c>
      <c r="G28" s="4" t="s">
        <v>45</v>
      </c>
    </row>
    <row r="29" customFormat="false" ht="17.15" hidden="false" customHeight="false" outlineLevel="0" collapsed="false">
      <c r="A29" s="2" t="s">
        <v>47</v>
      </c>
      <c r="B29" s="3" t="n">
        <v>45434</v>
      </c>
      <c r="C29" s="4" t="s">
        <v>48</v>
      </c>
      <c r="D29" s="2" t="s">
        <v>9</v>
      </c>
      <c r="E29" s="5" t="n">
        <v>25200</v>
      </c>
      <c r="F29" s="5"/>
      <c r="G29" s="4" t="s">
        <v>49</v>
      </c>
    </row>
    <row r="30" customFormat="false" ht="17.15" hidden="false" customHeight="false" outlineLevel="0" collapsed="false">
      <c r="A30" s="2" t="s">
        <v>47</v>
      </c>
      <c r="B30" s="3" t="n">
        <v>45434</v>
      </c>
      <c r="C30" s="4" t="s">
        <v>48</v>
      </c>
      <c r="D30" s="2" t="s">
        <v>11</v>
      </c>
      <c r="E30" s="5" t="n">
        <v>3276</v>
      </c>
      <c r="F30" s="5"/>
      <c r="G30" s="4" t="s">
        <v>49</v>
      </c>
    </row>
    <row r="31" customFormat="false" ht="17.15" hidden="false" customHeight="false" outlineLevel="0" collapsed="false">
      <c r="A31" s="2" t="s">
        <v>47</v>
      </c>
      <c r="B31" s="3" t="n">
        <v>45434</v>
      </c>
      <c r="C31" s="4" t="s">
        <v>48</v>
      </c>
      <c r="D31" s="2" t="s">
        <v>50</v>
      </c>
      <c r="E31" s="5"/>
      <c r="F31" s="5" t="n">
        <v>28476</v>
      </c>
      <c r="G31" s="4" t="s">
        <v>49</v>
      </c>
    </row>
    <row r="32" customFormat="false" ht="17.15" hidden="false" customHeight="false" outlineLevel="0" collapsed="false">
      <c r="A32" s="2" t="s">
        <v>51</v>
      </c>
      <c r="B32" s="3" t="n">
        <v>45439</v>
      </c>
      <c r="C32" s="4" t="s">
        <v>52</v>
      </c>
      <c r="D32" s="2" t="s">
        <v>15</v>
      </c>
      <c r="E32" s="5" t="n">
        <v>30000</v>
      </c>
      <c r="F32" s="5"/>
      <c r="G32" s="4" t="s">
        <v>53</v>
      </c>
    </row>
    <row r="33" customFormat="false" ht="17.15" hidden="false" customHeight="false" outlineLevel="0" collapsed="false">
      <c r="A33" s="2" t="s">
        <v>51</v>
      </c>
      <c r="B33" s="3" t="n">
        <v>45439</v>
      </c>
      <c r="C33" s="4" t="s">
        <v>52</v>
      </c>
      <c r="D33" s="2" t="s">
        <v>11</v>
      </c>
      <c r="E33" s="5" t="n">
        <v>2700</v>
      </c>
      <c r="F33" s="5"/>
      <c r="G33" s="4" t="s">
        <v>53</v>
      </c>
    </row>
    <row r="34" customFormat="false" ht="17.15" hidden="false" customHeight="false" outlineLevel="0" collapsed="false">
      <c r="A34" s="2" t="s">
        <v>51</v>
      </c>
      <c r="B34" s="3" t="n">
        <v>45439</v>
      </c>
      <c r="C34" s="4" t="s">
        <v>52</v>
      </c>
      <c r="D34" s="2" t="s">
        <v>17</v>
      </c>
      <c r="E34" s="5"/>
      <c r="F34" s="5" t="n">
        <v>32700</v>
      </c>
      <c r="G34" s="4" t="s">
        <v>53</v>
      </c>
    </row>
    <row r="35" customFormat="false" ht="15" hidden="false" customHeight="false" outlineLevel="0" collapsed="false">
      <c r="D35" s="6" t="s">
        <v>54</v>
      </c>
      <c r="E35" s="7" t="n">
        <f aca="false">SUM(E2:E34)</f>
        <v>372121.1</v>
      </c>
      <c r="F35" s="7" t="n">
        <f aca="false">SUM(F2:F34)</f>
        <v>372121.1</v>
      </c>
    </row>
    <row r="36" customFormat="false" ht="15" hidden="false" customHeight="false" outlineLevel="0" collapsed="false">
      <c r="D36" s="8" t="s">
        <v>55</v>
      </c>
      <c r="E36" s="8" t="str">
        <f aca="false">IF(ROUND(E35-F35,2)=0,"平衡","不平衡")</f>
        <v>平衡</v>
      </c>
    </row>
    <row r="38" customFormat="false" ht="15" hidden="false" customHeight="false" outlineLevel="0" collapsed="false">
      <c r="A38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7.15" hidden="false" customHeight="false" outlineLevel="0" collapsed="false">
      <c r="A1" s="1" t="s">
        <v>57</v>
      </c>
      <c r="B1" s="1" t="s">
        <v>58</v>
      </c>
      <c r="C1" s="1" t="s">
        <v>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 customFormat="false" ht="17.15" hidden="false" customHeight="false" outlineLevel="0" collapsed="false">
      <c r="A2" s="2" t="n">
        <v>1</v>
      </c>
      <c r="B2" s="2" t="s">
        <v>65</v>
      </c>
      <c r="C2" s="4" t="s">
        <v>66</v>
      </c>
      <c r="D2" s="3" t="n">
        <v>45427</v>
      </c>
      <c r="E2" s="2" t="s">
        <v>67</v>
      </c>
      <c r="F2" s="5" t="n">
        <v>18000</v>
      </c>
      <c r="G2" s="5" t="n">
        <v>20100</v>
      </c>
      <c r="H2" s="2" t="s">
        <v>68</v>
      </c>
      <c r="I2" s="2" t="s">
        <v>69</v>
      </c>
    </row>
    <row r="3" customFormat="false" ht="17.15" hidden="false" customHeight="false" outlineLevel="0" collapsed="false">
      <c r="A3" s="2" t="n">
        <v>2</v>
      </c>
      <c r="B3" s="2" t="s">
        <v>70</v>
      </c>
      <c r="C3" s="4" t="s">
        <v>71</v>
      </c>
      <c r="D3" s="3" t="n">
        <v>45428</v>
      </c>
      <c r="E3" s="2" t="s">
        <v>72</v>
      </c>
      <c r="F3" s="5" t="n">
        <v>13000</v>
      </c>
      <c r="G3" s="5" t="n">
        <v>14560</v>
      </c>
      <c r="H3" s="2" t="s">
        <v>73</v>
      </c>
      <c r="I3" s="2" t="s">
        <v>69</v>
      </c>
    </row>
    <row r="4" customFormat="false" ht="17.15" hidden="false" customHeight="false" outlineLevel="0" collapsed="false">
      <c r="A4" s="2" t="n">
        <v>3</v>
      </c>
      <c r="B4" s="2" t="s">
        <v>74</v>
      </c>
      <c r="C4" s="4" t="s">
        <v>45</v>
      </c>
      <c r="D4" s="3" t="n">
        <v>45430</v>
      </c>
      <c r="E4" s="2" t="s">
        <v>75</v>
      </c>
      <c r="F4" s="5" t="n">
        <v>8320</v>
      </c>
      <c r="G4" s="5" t="n">
        <v>9401.6</v>
      </c>
      <c r="H4" s="2" t="s">
        <v>76</v>
      </c>
      <c r="I4" s="2" t="s">
        <v>69</v>
      </c>
    </row>
    <row r="5" customFormat="false" ht="17.15" hidden="false" customHeight="false" outlineLevel="0" collapsed="false">
      <c r="A5" s="2" t="n">
        <v>4</v>
      </c>
      <c r="B5" s="2" t="s">
        <v>77</v>
      </c>
      <c r="C5" s="4" t="s">
        <v>78</v>
      </c>
      <c r="D5" s="3" t="n">
        <v>45432</v>
      </c>
      <c r="E5" s="2" t="s">
        <v>79</v>
      </c>
      <c r="F5" s="5" t="n">
        <v>20000</v>
      </c>
      <c r="G5" s="5" t="n">
        <v>22500</v>
      </c>
      <c r="H5" s="2" t="s">
        <v>80</v>
      </c>
      <c r="I5" s="2" t="s">
        <v>69</v>
      </c>
    </row>
    <row r="7" customFormat="false" ht="15" hidden="false" customHeight="false" outlineLevel="0" collapsed="false">
      <c r="A7" s="9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2026-09-13T04:18:27Z</dcterms:created>
  <dc:creator>openpyxl</dc:creator>
  <dc:description/>
  <dc:language>en-US</dc:language>
  <cp:lastModifiedBy/>
  <dcterms:modified xsi:type="dcterms:W3CDTF">2026-09-13T04:18:27Z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