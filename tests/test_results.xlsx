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桃花林\Desktop\"/>
    </mc:Choice>
  </mc:AlternateContent>
  <bookViews>
    <workbookView windowWidth="19200" windowHeight="8055"/>
  </bookViews>
  <sheets>
    <sheet name="预期" sheetId="1" r:id="rId1"/>
    <sheet name="实际" sheetId="2" r:id="rId2"/>
    <sheet name="对比" sheetId="3" r:id="rId3"/>
    <sheet name="统计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<sst xmlns="http://schemas.openxmlformats.org/spreadsheetml/2006/main" count="221" uniqueCount="92">
  <si>
    <t>文件名</t>
  </si>
  <si>
    <t>发票代码</t>
  </si>
  <si>
    <t>发票号码</t>
  </si>
  <si>
    <t>开票日期</t>
  </si>
  <si>
    <t>销方名称</t>
  </si>
  <si>
    <t>销方税号</t>
  </si>
  <si>
    <t>购方名称</t>
  </si>
  <si>
    <t>金额</t>
  </si>
  <si>
    <t>税率</t>
  </si>
  <si>
    <t>税额</t>
  </si>
  <si>
    <t>价税合计</t>
  </si>
  <si>
    <t>预期结果</t>
  </si>
  <si>
    <t>预期原因</t>
  </si>
  <si>
    <t>error_tax_amount</t>
  </si>
  <si>
    <t>110102345678</t>
  </si>
  <si>
    <t>北京恒信办公设备有限公司</t>
  </si>
  <si>
    <t>91110105MA0A9B8C7D</t>
  </si>
  <si>
    <t>北京星云科技有限公司</t>
  </si>
  <si>
    <t>异常</t>
  </si>
  <si>
    <t>税额不符</t>
  </si>
  <si>
    <t>error_duplicate</t>
  </si>
  <si>
    <t>1100143160</t>
  </si>
  <si>
    <t>01234567</t>
  </si>
  <si>
    <t>天津卓信办公科技有限公司</t>
  </si>
  <si>
    <t>91120116MA7D9H2R3U</t>
  </si>
  <si>
    <t>号码重复</t>
  </si>
  <si>
    <t>error_total</t>
  </si>
  <si>
    <t>2024060201</t>
  </si>
  <si>
    <t>上海启越办公设备有限公司</t>
  </si>
  <si>
    <t>91310115MA7654321X</t>
  </si>
  <si>
    <t>价税合计不符</t>
  </si>
  <si>
    <t>error_tax_rate</t>
  </si>
  <si>
    <t>2024060202</t>
  </si>
  <si>
    <t>苏州博远电子有限公司</t>
  </si>
  <si>
    <t>91320594MA7D3C8P1K</t>
  </si>
  <si>
    <t>税率非法</t>
  </si>
  <si>
    <t>normal_rotated</t>
  </si>
  <si>
    <t>01234576</t>
  </si>
  <si>
    <t>上海智创信息技术有限公司</t>
  </si>
  <si>
    <t>91310115MA7D8E9F0G</t>
  </si>
  <si>
    <t>通过</t>
  </si>
  <si>
    <t>normal_1</t>
  </si>
  <si>
    <t>上海远景办公设备有限公司</t>
  </si>
  <si>
    <t>91310115MA1F2G3H4J</t>
  </si>
  <si>
    <t>normal_2</t>
  </si>
  <si>
    <t>1100143168</t>
  </si>
  <si>
    <t>01234575</t>
  </si>
  <si>
    <t>北京筑诚工程服务有限公司</t>
  </si>
  <si>
    <t>91110108MA0B7C8D9E</t>
  </si>
  <si>
    <t>normal_3</t>
  </si>
  <si>
    <t>1100143161</t>
  </si>
  <si>
    <t>01234568</t>
  </si>
  <si>
    <t>苏州卓信家具有限公司</t>
  </si>
  <si>
    <t>91320594MA3Q7B2L8K</t>
  </si>
  <si>
    <t>normal_4</t>
  </si>
  <si>
    <t>1100143162</t>
  </si>
  <si>
    <t>01234569</t>
  </si>
  <si>
    <t>normal_5</t>
  </si>
  <si>
    <t>1100143163</t>
  </si>
  <si>
    <t>01234570</t>
  </si>
  <si>
    <t>广州云衡信息技术有限公司</t>
  </si>
  <si>
    <t>91440101MA5CL8D27H</t>
  </si>
  <si>
    <t>normal_6</t>
  </si>
  <si>
    <t>1100143164</t>
  </si>
  <si>
    <t>01234571</t>
  </si>
  <si>
    <t>深圳恒瑞办公耗材有限公司</t>
  </si>
  <si>
    <t>91440300MA5K1L2M3N</t>
  </si>
  <si>
    <t>normal_7</t>
  </si>
  <si>
    <t>1100143165</t>
  </si>
  <si>
    <t>01234572</t>
  </si>
  <si>
    <t>天津安厦建筑工程有限公司</t>
  </si>
  <si>
    <t>91120116MA06P3K9H2</t>
  </si>
  <si>
    <t>normal_8</t>
  </si>
  <si>
    <t>1100143166</t>
  </si>
  <si>
    <t>01234573</t>
  </si>
  <si>
    <t>杭州智维咨询科技有限公司</t>
  </si>
  <si>
    <t>91330109MA2B1C3D4E</t>
  </si>
  <si>
    <t>normal_9</t>
  </si>
  <si>
    <t>1100143167</t>
  </si>
  <si>
    <t>01234574</t>
  </si>
  <si>
    <t>宁波启航数码设备有限公司</t>
  </si>
  <si>
    <t>91330212MA2J5K6L7M</t>
  </si>
  <si>
    <t>normal_10</t>
  </si>
  <si>
    <t>北京华创办公设备有限公司</t>
  </si>
  <si>
    <t>91110115MA2B3C4D5E</t>
  </si>
  <si>
    <t>实际status</t>
  </si>
  <si>
    <t>实际reason</t>
  </si>
  <si>
    <t>指标</t>
  </si>
  <si>
    <t>计算结果</t>
  </si>
  <si>
    <t>字段提取准确率</t>
  </si>
  <si>
    <t>错票拦截率</t>
  </si>
  <si>
    <t>正常票误拦数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</si>
</sst>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9" fontId="0" fillId="0" borderId="0" xfId="3">
      <alignment vertical="center"/>
    </xf>
    <xf numFmtId="49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 wrapText="1"/>
    </xf>
    <xf numFmtId="1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topLeftCell="D1" workbookViewId="0">
      <selection activeCell="M2" sqref="M2:M5"/>
    </sheetView>
  </sheetViews>
  <sheetFormatPr defaultColWidth="9" defaultRowHeight="13.5"/>
  <cols>
    <col min="1" max="1" width="18.8938053097345" customWidth="1"/>
    <col min="2" max="2" width="13.929203539823" style="3" customWidth="1"/>
    <col min="3" max="3" width="11.7256637168142" style="3" customWidth="1"/>
    <col min="4" max="4" width="10.5929203539823" style="4" customWidth="1"/>
    <col min="5" max="5" width="26.4070796460177" customWidth="1"/>
    <col min="6" max="6" width="20.6548672566372" style="3" customWidth="1"/>
    <col min="7" max="7" width="19.9115044247788" customWidth="1"/>
    <col min="8" max="8" width="10.5929203539823"/>
    <col min="10" max="11" width="11.6637168141593"/>
    <col min="13" max="13" width="23.283185840708" customWidth="1"/>
    <col min="14" max="14" width="11.3097345132743" customWidth="1"/>
    <col min="15" max="16" width="11.5221238938053" customWidth="1"/>
  </cols>
  <sheetData>
    <row r="1" spans="1:13">
      <c r="A1" s="6" t="s">
        <v>0</v>
      </c>
      <c r="B1" s="7" t="s">
        <v>1</v>
      </c>
      <c r="C1" s="7" t="s">
        <v>2</v>
      </c>
      <c r="D1" s="8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t="s">
        <v>13</v>
      </c>
      <c r="B2" s="15" t="s">
        <v>14</v>
      </c>
      <c r="C2" s="3">
        <v>87654321</v>
      </c>
      <c r="D2" s="4">
        <v>45432</v>
      </c>
      <c r="E2" t="s">
        <v>15</v>
      </c>
      <c r="F2" s="9" t="s">
        <v>16</v>
      </c>
      <c r="G2" s="10" t="s">
        <v>17</v>
      </c>
      <c r="H2" s="11">
        <v>20000</v>
      </c>
      <c r="I2" s="5">
        <v>0.13</v>
      </c>
      <c r="J2" s="12">
        <v>2500</v>
      </c>
      <c r="K2" s="12">
        <v>22500</v>
      </c>
      <c r="L2" t="s">
        <v>18</v>
      </c>
      <c r="M2" t="s">
        <v>19</v>
      </c>
    </row>
    <row r="3" spans="1:13">
      <c r="A3" t="s">
        <v>20</v>
      </c>
      <c r="B3" s="9" t="s">
        <v>21</v>
      </c>
      <c r="C3" s="9" t="s">
        <v>22</v>
      </c>
      <c r="D3" s="4">
        <v>45430</v>
      </c>
      <c r="E3" t="s">
        <v>23</v>
      </c>
      <c r="F3" s="3" t="s">
        <v>24</v>
      </c>
      <c r="G3" s="10" t="s">
        <v>17</v>
      </c>
      <c r="H3">
        <v>8320</v>
      </c>
      <c r="I3" s="5">
        <v>0.13</v>
      </c>
      <c r="J3" s="12">
        <v>1081.6</v>
      </c>
      <c r="K3" s="12">
        <v>9401.6</v>
      </c>
      <c r="L3" t="s">
        <v>18</v>
      </c>
      <c r="M3" t="s">
        <v>25</v>
      </c>
    </row>
    <row r="4" spans="1:13">
      <c r="A4" t="s">
        <v>26</v>
      </c>
      <c r="B4" s="3" t="s">
        <v>27</v>
      </c>
      <c r="C4" s="3" t="s">
        <v>27</v>
      </c>
      <c r="D4" s="13">
        <v>45427</v>
      </c>
      <c r="E4" t="s">
        <v>28</v>
      </c>
      <c r="F4" s="3" t="s">
        <v>29</v>
      </c>
      <c r="G4" s="10" t="s">
        <v>17</v>
      </c>
      <c r="H4">
        <v>18000</v>
      </c>
      <c r="I4" s="5">
        <v>0.13</v>
      </c>
      <c r="J4" s="12">
        <v>2340</v>
      </c>
      <c r="K4" s="12">
        <v>20100</v>
      </c>
      <c r="L4" t="s">
        <v>18</v>
      </c>
      <c r="M4" s="6" t="s">
        <v>30</v>
      </c>
    </row>
    <row r="5" spans="1:13">
      <c r="A5" t="s">
        <v>31</v>
      </c>
      <c r="B5" s="3" t="s">
        <v>32</v>
      </c>
      <c r="C5" s="3" t="s">
        <v>32</v>
      </c>
      <c r="D5" s="4">
        <v>45428</v>
      </c>
      <c r="E5" s="10" t="s">
        <v>33</v>
      </c>
      <c r="F5" s="3" t="s">
        <v>34</v>
      </c>
      <c r="G5" s="10" t="s">
        <v>17</v>
      </c>
      <c r="H5">
        <v>13000</v>
      </c>
      <c r="I5" s="5">
        <v>0.12</v>
      </c>
      <c r="J5" s="12">
        <v>1560</v>
      </c>
      <c r="K5" s="12">
        <v>14560</v>
      </c>
      <c r="L5" t="s">
        <v>18</v>
      </c>
      <c r="M5" s="6" t="s">
        <v>35</v>
      </c>
    </row>
    <row r="6" spans="1:13">
      <c r="A6" t="s">
        <v>36</v>
      </c>
      <c r="B6" s="3" t="s">
        <v>21</v>
      </c>
      <c r="C6" s="3" t="s">
        <v>37</v>
      </c>
      <c r="D6" s="4">
        <v>45428</v>
      </c>
      <c r="E6" t="s">
        <v>38</v>
      </c>
      <c r="F6" s="3" t="s">
        <v>39</v>
      </c>
      <c r="G6" s="10" t="s">
        <v>17</v>
      </c>
      <c r="H6">
        <v>84905.66</v>
      </c>
      <c r="I6" s="14">
        <v>0.06</v>
      </c>
      <c r="J6" s="12">
        <v>5094.34</v>
      </c>
      <c r="K6" s="12">
        <v>90000</v>
      </c>
      <c r="L6" t="s">
        <v>40</v>
      </c>
    </row>
    <row r="7" spans="1:13">
      <c r="A7" t="s">
        <v>41</v>
      </c>
      <c r="B7" s="3" t="s">
        <v>21</v>
      </c>
      <c r="C7" s="3" t="s">
        <v>22</v>
      </c>
      <c r="D7" s="4">
        <v>45432</v>
      </c>
      <c r="E7" t="s">
        <v>42</v>
      </c>
      <c r="F7" s="3" t="s">
        <v>43</v>
      </c>
      <c r="G7" s="10" t="s">
        <v>17</v>
      </c>
      <c r="H7">
        <v>46200</v>
      </c>
      <c r="I7" s="5">
        <v>0.13</v>
      </c>
      <c r="J7" s="12">
        <v>6006</v>
      </c>
      <c r="K7" s="12">
        <v>52206</v>
      </c>
      <c r="L7" t="s">
        <v>40</v>
      </c>
    </row>
    <row r="8" spans="1:13">
      <c r="A8" t="s">
        <v>44</v>
      </c>
      <c r="B8" s="3" t="s">
        <v>45</v>
      </c>
      <c r="C8" s="3" t="s">
        <v>46</v>
      </c>
      <c r="D8" s="4">
        <v>45439</v>
      </c>
      <c r="E8" t="s">
        <v>47</v>
      </c>
      <c r="F8" s="3" t="s">
        <v>48</v>
      </c>
      <c r="G8" s="10" t="s">
        <v>17</v>
      </c>
      <c r="H8">
        <v>30000</v>
      </c>
      <c r="I8" s="14">
        <v>0.09</v>
      </c>
      <c r="J8" s="12">
        <v>2700</v>
      </c>
      <c r="K8" s="12">
        <v>32700</v>
      </c>
      <c r="L8" t="s">
        <v>40</v>
      </c>
    </row>
    <row r="9" spans="1:13">
      <c r="A9" t="s">
        <v>49</v>
      </c>
      <c r="B9" s="3" t="s">
        <v>50</v>
      </c>
      <c r="C9" s="3" t="s">
        <v>51</v>
      </c>
      <c r="D9" s="4">
        <v>45418</v>
      </c>
      <c r="E9" t="s">
        <v>52</v>
      </c>
      <c r="F9" s="3" t="s">
        <v>53</v>
      </c>
      <c r="G9" s="10" t="s">
        <v>17</v>
      </c>
      <c r="H9">
        <v>16320</v>
      </c>
      <c r="I9" s="5">
        <v>0.13</v>
      </c>
      <c r="J9" s="12">
        <v>2121.6</v>
      </c>
      <c r="K9" s="12">
        <v>18441.6</v>
      </c>
      <c r="L9" t="s">
        <v>40</v>
      </c>
    </row>
    <row r="10" spans="1:13">
      <c r="A10" t="s">
        <v>54</v>
      </c>
      <c r="B10" s="3" t="s">
        <v>55</v>
      </c>
      <c r="C10" s="3" t="s">
        <v>56</v>
      </c>
      <c r="D10" s="4">
        <v>45420</v>
      </c>
      <c r="E10" s="10" t="s">
        <v>47</v>
      </c>
      <c r="F10" s="3" t="s">
        <v>48</v>
      </c>
      <c r="G10" s="10" t="s">
        <v>17</v>
      </c>
      <c r="H10">
        <v>40000</v>
      </c>
      <c r="I10" s="5">
        <v>0.09</v>
      </c>
      <c r="J10" s="12">
        <v>3600</v>
      </c>
      <c r="K10" s="12">
        <v>43600</v>
      </c>
      <c r="L10" t="s">
        <v>40</v>
      </c>
    </row>
    <row r="11" spans="1:13">
      <c r="A11" t="s">
        <v>57</v>
      </c>
      <c r="B11" s="3" t="s">
        <v>58</v>
      </c>
      <c r="C11" s="3" t="s">
        <v>59</v>
      </c>
      <c r="D11" s="4">
        <v>45422</v>
      </c>
      <c r="E11" t="s">
        <v>60</v>
      </c>
      <c r="F11" s="3" t="s">
        <v>61</v>
      </c>
      <c r="G11" s="10" t="s">
        <v>17</v>
      </c>
      <c r="H11">
        <v>18800</v>
      </c>
      <c r="I11" s="5">
        <v>0.06</v>
      </c>
      <c r="J11" s="12">
        <v>1128</v>
      </c>
      <c r="K11" s="12">
        <v>19928</v>
      </c>
      <c r="L11" t="s">
        <v>40</v>
      </c>
    </row>
    <row r="12" spans="1:13">
      <c r="A12" t="s">
        <v>62</v>
      </c>
      <c r="B12" s="3" t="s">
        <v>63</v>
      </c>
      <c r="C12" s="3" t="s">
        <v>64</v>
      </c>
      <c r="D12" s="4">
        <v>45425</v>
      </c>
      <c r="E12" t="s">
        <v>65</v>
      </c>
      <c r="F12" s="3" t="s">
        <v>66</v>
      </c>
      <c r="G12" s="10" t="s">
        <v>17</v>
      </c>
      <c r="H12">
        <v>16450</v>
      </c>
      <c r="I12" s="5">
        <v>0.13</v>
      </c>
      <c r="J12" s="12">
        <v>2138.5</v>
      </c>
      <c r="K12" s="12">
        <v>18588.5</v>
      </c>
      <c r="L12" t="s">
        <v>40</v>
      </c>
    </row>
    <row r="13" spans="1:13">
      <c r="A13" t="s">
        <v>67</v>
      </c>
      <c r="B13" s="3" t="s">
        <v>68</v>
      </c>
      <c r="C13" s="3" t="s">
        <v>69</v>
      </c>
      <c r="D13" s="4">
        <v>45427</v>
      </c>
      <c r="E13" t="s">
        <v>70</v>
      </c>
      <c r="F13" s="3" t="s">
        <v>71</v>
      </c>
      <c r="G13" s="10" t="s">
        <v>17</v>
      </c>
      <c r="H13">
        <v>26500</v>
      </c>
      <c r="I13" s="5">
        <v>0.09</v>
      </c>
      <c r="J13" s="12">
        <v>2385</v>
      </c>
      <c r="K13" s="12">
        <v>28885</v>
      </c>
      <c r="L13" t="s">
        <v>40</v>
      </c>
    </row>
    <row r="14" spans="1:13">
      <c r="A14" t="s">
        <v>72</v>
      </c>
      <c r="B14" s="3" t="s">
        <v>73</v>
      </c>
      <c r="C14" s="3" t="s">
        <v>74</v>
      </c>
      <c r="D14" s="4">
        <v>45430</v>
      </c>
      <c r="E14" t="s">
        <v>75</v>
      </c>
      <c r="F14" s="3" t="s">
        <v>76</v>
      </c>
      <c r="G14" s="10" t="s">
        <v>17</v>
      </c>
      <c r="H14">
        <v>23000</v>
      </c>
      <c r="I14" s="5">
        <v>0.06</v>
      </c>
      <c r="J14" s="12">
        <v>1380</v>
      </c>
      <c r="K14" s="12">
        <v>24380</v>
      </c>
      <c r="L14" t="s">
        <v>40</v>
      </c>
    </row>
    <row r="15" spans="1:13">
      <c r="A15" t="s">
        <v>77</v>
      </c>
      <c r="B15" s="3" t="s">
        <v>78</v>
      </c>
      <c r="C15" s="3" t="s">
        <v>79</v>
      </c>
      <c r="D15" s="4">
        <v>45434</v>
      </c>
      <c r="E15" t="s">
        <v>80</v>
      </c>
      <c r="F15" s="3" t="s">
        <v>81</v>
      </c>
      <c r="G15" s="10" t="s">
        <v>17</v>
      </c>
      <c r="H15">
        <v>25200</v>
      </c>
      <c r="I15" s="5">
        <v>0.13</v>
      </c>
      <c r="J15" s="12">
        <v>3276</v>
      </c>
      <c r="K15" s="12">
        <v>28476</v>
      </c>
      <c r="L15" t="s">
        <v>40</v>
      </c>
    </row>
    <row r="16" spans="1:13">
      <c r="A16" t="s">
        <v>82</v>
      </c>
      <c r="B16" s="3" t="s">
        <v>21</v>
      </c>
      <c r="C16" s="3" t="s">
        <v>51</v>
      </c>
      <c r="D16" s="4">
        <v>45427</v>
      </c>
      <c r="E16" t="s">
        <v>83</v>
      </c>
      <c r="F16" s="3" t="s">
        <v>84</v>
      </c>
      <c r="G16" s="10" t="s">
        <v>17</v>
      </c>
      <c r="H16">
        <v>13200</v>
      </c>
      <c r="I16" s="5">
        <v>0.13</v>
      </c>
      <c r="J16" s="12">
        <v>1716</v>
      </c>
      <c r="K16" s="12">
        <v>14916</v>
      </c>
      <c r="L16" t="s">
        <v>40</v>
      </c>
    </row>
  </sheetData>
  <dataValidations count="1">
    <dataValidation type="list" allowBlank="1" showInputMessage="1" showErrorMessage="1" sqref="L2:L16">
      <formula1>"通过,异常"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workbookViewId="0">
      <pane xSplit="1" topLeftCell="D1" activePane="topRight" state="frozen"/>
      <selection/>
      <selection pane="topRight" activeCell="D25" sqref="D25"/>
    </sheetView>
  </sheetViews>
  <sheetFormatPr defaultColWidth="9" defaultRowHeight="13.5"/>
  <cols>
    <col min="1" max="1" width="18.8938053097345" customWidth="1"/>
    <col min="2" max="2" width="13.929203539823" customWidth="1"/>
    <col min="3" max="3" width="11.7256637168142" customWidth="1"/>
    <col min="4" max="4" width="10.5929203539823"/>
    <col min="5" max="5" width="26.4070796460177" customWidth="1"/>
    <col min="6" max="6" width="20.6548672566372" customWidth="1"/>
    <col min="7" max="7" width="22.0796460176991" customWidth="1"/>
    <col min="8" max="8" width="9.53097345132743"/>
    <col min="12" max="12" width="11.5221238938053" customWidth="1"/>
    <col min="13" max="13" width="13.4336283185841" customWidth="1"/>
  </cols>
  <sheetData>
    <row r="1" spans="1:13">
      <c r="A1" t="str">
        <f>预期!A1</f>
        <v>文件名</v>
      </c>
      <c r="B1" t="str">
        <f>预期!B1</f>
        <v>发票代码</v>
      </c>
      <c r="C1" t="str">
        <f>预期!C1</f>
        <v>发票号码</v>
      </c>
      <c r="D1" t="str">
        <f>预期!D1</f>
        <v>开票日期</v>
      </c>
      <c r="E1" t="str">
        <f>预期!E1</f>
        <v>销方名称</v>
      </c>
      <c r="F1" t="str">
        <f>预期!F1</f>
        <v>销方税号</v>
      </c>
      <c r="G1" t="str">
        <f>预期!G1</f>
        <v>购方名称</v>
      </c>
      <c r="H1" t="str">
        <f>预期!H1</f>
        <v>金额</v>
      </c>
      <c r="I1" t="str">
        <f>预期!I1</f>
        <v>税率</v>
      </c>
      <c r="J1" t="str">
        <f>预期!J1</f>
        <v>税额</v>
      </c>
      <c r="K1" t="str">
        <f>预期!K1</f>
        <v>价税合计</v>
      </c>
      <c r="L1" t="s">
        <v>85</v>
      </c>
      <c r="M1" t="s">
        <v>86</v>
      </c>
    </row>
    <row r="2" spans="1:13">
      <c r="A2" t="str">
        <f>预期!A2</f>
        <v>error_tax_amount</v>
      </c>
      <c r="B2" s="15" t="s">
        <v>14</v>
      </c>
      <c r="C2" s="3">
        <v>87654321</v>
      </c>
      <c r="D2" s="4">
        <v>45432</v>
      </c>
      <c r="E2" t="s">
        <v>15</v>
      </c>
      <c r="F2" s="3" t="s">
        <v>16</v>
      </c>
      <c r="G2" t="s">
        <v>17</v>
      </c>
      <c r="H2">
        <v>20000</v>
      </c>
      <c r="I2" s="5">
        <v>0.13</v>
      </c>
      <c r="J2">
        <v>2500</v>
      </c>
      <c r="K2">
        <v>22500</v>
      </c>
      <c r="L2" t="s">
        <v>18</v>
      </c>
      <c r="M2" t="s">
        <v>19</v>
      </c>
    </row>
    <row r="3" spans="1:13">
      <c r="A3" t="str">
        <f>预期!A3</f>
        <v>error_duplicate</v>
      </c>
      <c r="B3" s="3" t="s">
        <v>21</v>
      </c>
      <c r="C3" s="3" t="s">
        <v>22</v>
      </c>
      <c r="D3" s="4">
        <v>45430</v>
      </c>
      <c r="E3" t="s">
        <v>23</v>
      </c>
      <c r="F3" s="3" t="s">
        <v>24</v>
      </c>
      <c r="G3" t="s">
        <v>17</v>
      </c>
      <c r="H3">
        <v>8320</v>
      </c>
      <c r="I3" s="5">
        <v>0.13</v>
      </c>
      <c r="J3">
        <v>1081.6</v>
      </c>
      <c r="K3">
        <v>9401.6</v>
      </c>
      <c r="L3" t="s">
        <v>18</v>
      </c>
      <c r="M3" t="s">
        <v>25</v>
      </c>
    </row>
    <row r="4" spans="1:13">
      <c r="A4" t="str">
        <f>预期!A4</f>
        <v>error_total</v>
      </c>
      <c r="B4" s="3" t="s">
        <v>27</v>
      </c>
      <c r="C4" s="3" t="s">
        <v>27</v>
      </c>
      <c r="D4" s="4">
        <v>45427</v>
      </c>
      <c r="E4" t="s">
        <v>28</v>
      </c>
      <c r="F4" s="3" t="s">
        <v>29</v>
      </c>
      <c r="G4" t="s">
        <v>17</v>
      </c>
      <c r="H4">
        <v>18000</v>
      </c>
      <c r="I4" s="5">
        <v>0.13</v>
      </c>
      <c r="J4">
        <v>2340</v>
      </c>
      <c r="K4">
        <v>20100</v>
      </c>
      <c r="L4" t="s">
        <v>18</v>
      </c>
      <c r="M4" t="s">
        <v>30</v>
      </c>
    </row>
    <row r="5" spans="1:13">
      <c r="A5" t="str">
        <f>预期!A5</f>
        <v>error_tax_rate</v>
      </c>
      <c r="B5" s="3" t="s">
        <v>32</v>
      </c>
      <c r="C5" s="3" t="s">
        <v>32</v>
      </c>
      <c r="D5" s="4">
        <v>45428</v>
      </c>
      <c r="E5" t="s">
        <v>33</v>
      </c>
      <c r="F5" s="3" t="s">
        <v>34</v>
      </c>
      <c r="G5" t="s">
        <v>17</v>
      </c>
      <c r="H5">
        <v>13000</v>
      </c>
      <c r="I5" s="5">
        <v>0.12</v>
      </c>
      <c r="J5">
        <v>1560</v>
      </c>
      <c r="K5">
        <v>14560</v>
      </c>
      <c r="L5" t="s">
        <v>18</v>
      </c>
      <c r="M5" t="s">
        <v>35</v>
      </c>
    </row>
    <row r="6" spans="1:13">
      <c r="A6" t="str">
        <f>预期!A6</f>
        <v>normal_rotated</v>
      </c>
      <c r="B6" s="3" t="s">
        <v>21</v>
      </c>
      <c r="C6" s="3" t="s">
        <v>37</v>
      </c>
      <c r="D6" s="4">
        <v>45428</v>
      </c>
      <c r="E6" t="s">
        <v>38</v>
      </c>
      <c r="F6" s="3" t="s">
        <v>39</v>
      </c>
      <c r="G6" t="s">
        <v>17</v>
      </c>
      <c r="H6">
        <v>84905.66</v>
      </c>
      <c r="I6" s="5">
        <v>0.06</v>
      </c>
      <c r="J6">
        <v>5094.34</v>
      </c>
      <c r="K6">
        <v>90000</v>
      </c>
      <c r="L6" t="s">
        <v>40</v>
      </c>
    </row>
    <row r="7" spans="1:13">
      <c r="A7" t="str">
        <f>预期!A7</f>
        <v>normal_1</v>
      </c>
      <c r="B7" s="3" t="s">
        <v>21</v>
      </c>
      <c r="C7" s="3" t="s">
        <v>22</v>
      </c>
      <c r="D7" s="4">
        <v>45432</v>
      </c>
      <c r="E7" t="s">
        <v>42</v>
      </c>
      <c r="F7" s="3" t="s">
        <v>43</v>
      </c>
      <c r="G7" t="s">
        <v>17</v>
      </c>
      <c r="H7">
        <v>46200</v>
      </c>
      <c r="I7" s="5">
        <v>0.13</v>
      </c>
      <c r="J7">
        <v>6006</v>
      </c>
      <c r="K7">
        <v>52206</v>
      </c>
      <c r="L7" t="s">
        <v>40</v>
      </c>
    </row>
    <row r="8" spans="1:13">
      <c r="A8" t="str">
        <f>预期!A8</f>
        <v>normal_2</v>
      </c>
      <c r="B8" s="3" t="s">
        <v>45</v>
      </c>
      <c r="C8" s="3" t="s">
        <v>46</v>
      </c>
      <c r="D8" s="4">
        <v>45439</v>
      </c>
      <c r="E8" t="s">
        <v>47</v>
      </c>
      <c r="F8" s="3" t="s">
        <v>48</v>
      </c>
      <c r="G8" t="s">
        <v>17</v>
      </c>
      <c r="H8">
        <v>30000</v>
      </c>
      <c r="I8" s="5">
        <v>0.09</v>
      </c>
      <c r="J8">
        <v>2700</v>
      </c>
      <c r="K8">
        <v>32700</v>
      </c>
      <c r="L8" t="s">
        <v>40</v>
      </c>
    </row>
    <row r="9" spans="1:13">
      <c r="A9" t="str">
        <f>预期!A9</f>
        <v>normal_3</v>
      </c>
      <c r="B9" s="3" t="s">
        <v>50</v>
      </c>
      <c r="C9" s="3" t="s">
        <v>51</v>
      </c>
      <c r="D9" s="4">
        <v>45418</v>
      </c>
      <c r="E9" t="s">
        <v>52</v>
      </c>
      <c r="F9" s="3" t="s">
        <v>53</v>
      </c>
      <c r="G9" t="s">
        <v>17</v>
      </c>
      <c r="H9">
        <v>16320</v>
      </c>
      <c r="I9" s="5">
        <v>0.13</v>
      </c>
      <c r="J9">
        <v>2121.6</v>
      </c>
      <c r="K9">
        <v>18441.6</v>
      </c>
      <c r="L9" t="s">
        <v>40</v>
      </c>
    </row>
    <row r="10" spans="1:13">
      <c r="A10" t="str">
        <f>预期!A10</f>
        <v>normal_4</v>
      </c>
      <c r="B10" s="3" t="s">
        <v>55</v>
      </c>
      <c r="C10" s="3" t="s">
        <v>56</v>
      </c>
      <c r="D10" s="4">
        <v>45420</v>
      </c>
      <c r="E10" t="s">
        <v>47</v>
      </c>
      <c r="F10" s="3" t="s">
        <v>48</v>
      </c>
      <c r="G10" t="s">
        <v>17</v>
      </c>
      <c r="H10">
        <v>40000</v>
      </c>
      <c r="I10" s="5">
        <v>0.09</v>
      </c>
      <c r="J10">
        <v>3600</v>
      </c>
      <c r="K10">
        <v>43600</v>
      </c>
      <c r="L10" t="s">
        <v>40</v>
      </c>
    </row>
    <row r="11" spans="1:13">
      <c r="A11" t="str">
        <f>预期!A11</f>
        <v>normal_5</v>
      </c>
      <c r="B11" s="3" t="s">
        <v>58</v>
      </c>
      <c r="C11" s="3" t="s">
        <v>59</v>
      </c>
      <c r="D11" s="4">
        <v>45422</v>
      </c>
      <c r="E11" t="s">
        <v>60</v>
      </c>
      <c r="F11" s="3" t="s">
        <v>61</v>
      </c>
      <c r="G11" t="s">
        <v>17</v>
      </c>
      <c r="H11">
        <v>18800</v>
      </c>
      <c r="I11" s="5">
        <v>0.06</v>
      </c>
      <c r="J11">
        <v>1128</v>
      </c>
      <c r="K11">
        <v>19928</v>
      </c>
      <c r="L11" t="s">
        <v>40</v>
      </c>
    </row>
    <row r="12" spans="1:13">
      <c r="A12" t="str">
        <f>预期!A12</f>
        <v>normal_6</v>
      </c>
      <c r="B12" s="3" t="s">
        <v>63</v>
      </c>
      <c r="C12" s="3" t="s">
        <v>64</v>
      </c>
      <c r="D12" s="4">
        <v>45425</v>
      </c>
      <c r="E12" t="s">
        <v>65</v>
      </c>
      <c r="F12" s="3" t="s">
        <v>66</v>
      </c>
      <c r="G12" t="s">
        <v>17</v>
      </c>
      <c r="H12">
        <v>16450</v>
      </c>
      <c r="I12" s="5">
        <v>0.13</v>
      </c>
      <c r="J12">
        <v>2138.5</v>
      </c>
      <c r="K12">
        <v>18588.5</v>
      </c>
      <c r="L12" t="s">
        <v>40</v>
      </c>
    </row>
    <row r="13" spans="1:13">
      <c r="A13" t="str">
        <f>预期!A13</f>
        <v>normal_7</v>
      </c>
      <c r="B13" s="3" t="s">
        <v>68</v>
      </c>
      <c r="C13" s="3" t="s">
        <v>69</v>
      </c>
      <c r="D13" s="4">
        <v>45427</v>
      </c>
      <c r="E13" t="s">
        <v>70</v>
      </c>
      <c r="F13" s="3" t="s">
        <v>71</v>
      </c>
      <c r="G13" t="s">
        <v>17</v>
      </c>
      <c r="H13">
        <v>26500</v>
      </c>
      <c r="I13" s="5">
        <v>0.09</v>
      </c>
      <c r="J13">
        <v>2385</v>
      </c>
      <c r="K13">
        <v>28885</v>
      </c>
      <c r="L13" t="s">
        <v>40</v>
      </c>
    </row>
    <row r="14" spans="1:13">
      <c r="A14" t="str">
        <f>预期!A14</f>
        <v>normal_8</v>
      </c>
      <c r="B14" s="3" t="s">
        <v>73</v>
      </c>
      <c r="C14" s="3" t="s">
        <v>74</v>
      </c>
      <c r="D14" s="4">
        <v>45430</v>
      </c>
      <c r="E14" t="s">
        <v>75</v>
      </c>
      <c r="F14" s="3" t="s">
        <v>76</v>
      </c>
      <c r="G14" t="s">
        <v>17</v>
      </c>
      <c r="H14">
        <v>23000</v>
      </c>
      <c r="I14" s="5">
        <v>0.06</v>
      </c>
      <c r="J14">
        <v>1380</v>
      </c>
      <c r="K14">
        <v>24380</v>
      </c>
      <c r="L14" t="s">
        <v>40</v>
      </c>
    </row>
    <row r="15" spans="1:13">
      <c r="A15" t="str">
        <f>预期!A15</f>
        <v>normal_9</v>
      </c>
      <c r="B15" s="3" t="s">
        <v>78</v>
      </c>
      <c r="C15" s="3" t="s">
        <v>79</v>
      </c>
      <c r="D15" s="4">
        <v>45434</v>
      </c>
      <c r="E15" t="s">
        <v>80</v>
      </c>
      <c r="F15" s="3" t="s">
        <v>81</v>
      </c>
      <c r="G15" t="s">
        <v>17</v>
      </c>
      <c r="H15">
        <v>25200</v>
      </c>
      <c r="I15" s="5">
        <v>0.13</v>
      </c>
      <c r="J15">
        <v>3276</v>
      </c>
      <c r="K15">
        <v>28476</v>
      </c>
      <c r="L15" t="s">
        <v>40</v>
      </c>
    </row>
    <row r="16" spans="1:13">
      <c r="A16" t="str">
        <f>预期!A16</f>
        <v>normal_10</v>
      </c>
      <c r="B16" s="3" t="s">
        <v>21</v>
      </c>
      <c r="C16" s="3" t="s">
        <v>51</v>
      </c>
      <c r="D16" s="4">
        <v>45427</v>
      </c>
      <c r="E16" t="s">
        <v>83</v>
      </c>
      <c r="F16" s="3" t="s">
        <v>84</v>
      </c>
      <c r="G16" t="s">
        <v>17</v>
      </c>
      <c r="H16">
        <v>13200</v>
      </c>
      <c r="I16" s="5">
        <v>0.13</v>
      </c>
      <c r="J16">
        <v>1716</v>
      </c>
      <c r="K16">
        <v>14916</v>
      </c>
      <c r="L16" t="s">
        <v>40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L19"/>
  <sheetViews>
    <sheetView topLeftCell="A4" workbookViewId="0">
      <selection activeCell="L5" sqref="L5"/>
    </sheetView>
  </sheetViews>
  <sheetFormatPr defaultColWidth="9" defaultRowHeight="13.5"/>
  <cols>
    <col min="1" max="1" width="18.8938053097345" customWidth="1"/>
    <col min="12" max="12" width="11.5221238938053" customWidth="1"/>
  </cols>
  <sheetData>
    <row r="4" spans="1:12">
      <c r="A4" t="str">
        <f>实际!A1</f>
        <v>文件名</v>
      </c>
      <c r="B4" t="str">
        <f>实际!B1</f>
        <v>发票代码</v>
      </c>
      <c r="C4" t="str">
        <f>实际!C1</f>
        <v>发票号码</v>
      </c>
      <c r="D4" t="str">
        <f>实际!D1</f>
        <v>开票日期</v>
      </c>
      <c r="E4" t="str">
        <f>实际!E1</f>
        <v>销方名称</v>
      </c>
      <c r="F4" t="str">
        <f>实际!F1</f>
        <v>销方税号</v>
      </c>
      <c r="G4" t="str">
        <f>实际!G1</f>
        <v>购方名称</v>
      </c>
      <c r="H4" t="str">
        <f>实际!H1</f>
        <v>金额</v>
      </c>
      <c r="I4" t="str">
        <f>实际!I1</f>
        <v>税率</v>
      </c>
      <c r="J4" t="str">
        <f>实际!J1</f>
        <v>税额</v>
      </c>
      <c r="K4" t="str">
        <f>实际!K1</f>
        <v>价税合计</v>
      </c>
      <c r="L4" t="str">
        <f>实际!L1</f>
        <v>实际status</v>
      </c>
    </row>
    <row r="5" spans="1:12">
      <c r="A5" t="str">
        <f>实际!A2</f>
        <v>error_tax_amount</v>
      </c>
      <c r="B5">
        <f>IF(预期!B2=实际!B2,1,0)</f>
        <v>1</v>
      </c>
      <c r="C5">
        <f>IF(预期!C2=实际!C2,1,0)</f>
        <v>1</v>
      </c>
      <c r="D5">
        <f>IF(预期!D2=实际!D2,1,0)</f>
        <v>1</v>
      </c>
      <c r="E5">
        <f>IF(预期!E2=实际!E2,1,0)</f>
        <v>1</v>
      </c>
      <c r="F5">
        <f>IF(预期!F2=实际!F2,1,0)</f>
        <v>1</v>
      </c>
      <c r="G5">
        <f>IF(预期!G2=实际!G2,1,0)</f>
        <v>1</v>
      </c>
      <c r="H5">
        <f>IF(预期!H2=实际!H2,1,0)</f>
        <v>1</v>
      </c>
      <c r="I5">
        <f>IF(预期!I2=实际!I2,1,0)</f>
        <v>1</v>
      </c>
      <c r="J5">
        <f>IF(预期!J2=实际!J2,1,0)</f>
        <v>1</v>
      </c>
      <c r="K5">
        <f>IF(预期!K2=实际!K2,1,0)</f>
        <v>1</v>
      </c>
      <c r="L5">
        <f>IF(预期!L2=实际!L2,1,0)</f>
        <v>1</v>
      </c>
    </row>
    <row r="6" spans="1:12">
      <c r="A6" t="str">
        <f>实际!A3</f>
        <v>error_duplicate</v>
      </c>
      <c r="B6">
        <f>IF(预期!B3=实际!B3,1,0)</f>
        <v>1</v>
      </c>
      <c r="C6">
        <f>IF(预期!C3=实际!C3,1,0)</f>
        <v>1</v>
      </c>
      <c r="D6">
        <f>IF(预期!D3=实际!D3,1,0)</f>
        <v>1</v>
      </c>
      <c r="E6">
        <f>IF(预期!E3=实际!E3,1,0)</f>
        <v>1</v>
      </c>
      <c r="F6">
        <f>IF(预期!F3=实际!F3,1,0)</f>
        <v>1</v>
      </c>
      <c r="G6">
        <f>IF(预期!G3=实际!G3,1,0)</f>
        <v>1</v>
      </c>
      <c r="H6">
        <f>IF(预期!H3=实际!H3,1,0)</f>
        <v>1</v>
      </c>
      <c r="I6">
        <f>IF(预期!I3=实际!I3,1,0)</f>
        <v>1</v>
      </c>
      <c r="J6">
        <f>IF(预期!J3=实际!J3,1,0)</f>
        <v>1</v>
      </c>
      <c r="K6">
        <f>IF(预期!K3=实际!K3,1,0)</f>
        <v>1</v>
      </c>
      <c r="L6">
        <f>IF(预期!L3=实际!L3,1,0)</f>
        <v>1</v>
      </c>
    </row>
    <row r="7" spans="1:12">
      <c r="A7" t="str">
        <f>实际!A4</f>
        <v>error_total</v>
      </c>
      <c r="B7">
        <f>IF(预期!B4=实际!B4,1,0)</f>
        <v>1</v>
      </c>
      <c r="C7">
        <f>IF(预期!C4=实际!C4,1,0)</f>
        <v>1</v>
      </c>
      <c r="D7">
        <f>IF(预期!D4=实际!D4,1,0)</f>
        <v>1</v>
      </c>
      <c r="E7">
        <f>IF(预期!E4=实际!E4,1,0)</f>
        <v>1</v>
      </c>
      <c r="F7">
        <f>IF(预期!F4=实际!F4,1,0)</f>
        <v>1</v>
      </c>
      <c r="G7">
        <f>IF(预期!G4=实际!G4,1,0)</f>
        <v>1</v>
      </c>
      <c r="H7">
        <f>IF(预期!H4=实际!H4,1,0)</f>
        <v>1</v>
      </c>
      <c r="I7">
        <f>IF(预期!I4=实际!I4,1,0)</f>
        <v>1</v>
      </c>
      <c r="J7">
        <f>IF(预期!J4=实际!J4,1,0)</f>
        <v>1</v>
      </c>
      <c r="K7">
        <f>IF(预期!K4=实际!K4,1,0)</f>
        <v>1</v>
      </c>
      <c r="L7">
        <f>IF(预期!L4=实际!L4,1,0)</f>
        <v>1</v>
      </c>
    </row>
    <row r="8" spans="1:12">
      <c r="A8" t="str">
        <f>实际!A5</f>
        <v>error_tax_rate</v>
      </c>
      <c r="B8">
        <f>IF(预期!B5=实际!B5,1,0)</f>
        <v>1</v>
      </c>
      <c r="C8">
        <f>IF(预期!C5=实际!C5,1,0)</f>
        <v>1</v>
      </c>
      <c r="D8">
        <f>IF(预期!D5=实际!D5,1,0)</f>
        <v>1</v>
      </c>
      <c r="E8">
        <f>IF(预期!E5=实际!E5,1,0)</f>
        <v>1</v>
      </c>
      <c r="F8">
        <f>IF(预期!F5=实际!F5,1,0)</f>
        <v>1</v>
      </c>
      <c r="G8">
        <f>IF(预期!G5=实际!G5,1,0)</f>
        <v>1</v>
      </c>
      <c r="H8">
        <f>IF(预期!H5=实际!H5,1,0)</f>
        <v>1</v>
      </c>
      <c r="I8">
        <f>IF(预期!I5=实际!I5,1,0)</f>
        <v>1</v>
      </c>
      <c r="J8">
        <f>IF(预期!J5=实际!J5,1,0)</f>
        <v>1</v>
      </c>
      <c r="K8">
        <f>IF(预期!K5=实际!K5,1,0)</f>
        <v>1</v>
      </c>
      <c r="L8">
        <f>IF(预期!L5=实际!L5,1,0)</f>
        <v>1</v>
      </c>
    </row>
    <row r="9" spans="1:12">
      <c r="A9" t="str">
        <f>实际!A6</f>
        <v>normal_rotated</v>
      </c>
      <c r="B9">
        <f>IF(预期!B6=实际!B6,1,0)</f>
        <v>1</v>
      </c>
      <c r="C9">
        <f>IF(预期!C6=实际!C6,1,0)</f>
        <v>1</v>
      </c>
      <c r="D9">
        <f>IF(预期!D6=实际!D6,1,0)</f>
        <v>1</v>
      </c>
      <c r="E9">
        <f>IF(预期!E6=实际!E6,1,0)</f>
        <v>1</v>
      </c>
      <c r="F9">
        <f>IF(预期!F6=实际!F6,1,0)</f>
        <v>1</v>
      </c>
      <c r="G9">
        <f>IF(预期!G6=实际!G6,1,0)</f>
        <v>1</v>
      </c>
      <c r="H9">
        <f>IF(预期!H6=实际!H6,1,0)</f>
        <v>1</v>
      </c>
      <c r="I9">
        <f>IF(预期!I6=实际!I6,1,0)</f>
        <v>1</v>
      </c>
      <c r="J9">
        <f>IF(预期!J6=实际!J6,1,0)</f>
        <v>1</v>
      </c>
      <c r="K9">
        <f>IF(预期!K6=实际!K6,1,0)</f>
        <v>1</v>
      </c>
      <c r="L9">
        <f>IF(预期!L6=实际!L6,1,0)</f>
        <v>1</v>
      </c>
    </row>
    <row r="10" spans="1:12">
      <c r="A10" t="str">
        <f>实际!A7</f>
        <v>normal_1</v>
      </c>
      <c r="B10">
        <f>IF(预期!B7=实际!B7,1,0)</f>
        <v>1</v>
      </c>
      <c r="C10">
        <f>IF(预期!C7=实际!C7,1,0)</f>
        <v>1</v>
      </c>
      <c r="D10">
        <f>IF(预期!D7=实际!D7,1,0)</f>
        <v>1</v>
      </c>
      <c r="E10">
        <f>IF(预期!E7=实际!E7,1,0)</f>
        <v>1</v>
      </c>
      <c r="F10">
        <f>IF(预期!F7=实际!F7,1,0)</f>
        <v>1</v>
      </c>
      <c r="G10">
        <f>IF(预期!G7=实际!G7,1,0)</f>
        <v>1</v>
      </c>
      <c r="H10">
        <f>IF(预期!H7=实际!H7,1,0)</f>
        <v>1</v>
      </c>
      <c r="I10">
        <f>IF(预期!I7=实际!I7,1,0)</f>
        <v>1</v>
      </c>
      <c r="J10">
        <f>IF(预期!J7=实际!J7,1,0)</f>
        <v>1</v>
      </c>
      <c r="K10">
        <f>IF(预期!K7=实际!K7,1,0)</f>
        <v>1</v>
      </c>
      <c r="L10">
        <f>IF(预期!L7=实际!L7,1,0)</f>
        <v>1</v>
      </c>
    </row>
    <row r="11" spans="1:12">
      <c r="A11" t="str">
        <f>实际!A8</f>
        <v>normal_2</v>
      </c>
      <c r="B11">
        <f>IF(预期!B8=实际!B8,1,0)</f>
        <v>1</v>
      </c>
      <c r="C11">
        <f>IF(预期!C8=实际!C8,1,0)</f>
        <v>1</v>
      </c>
      <c r="D11">
        <f>IF(预期!D8=实际!D8,1,0)</f>
        <v>1</v>
      </c>
      <c r="E11">
        <f>IF(预期!E8=实际!E8,1,0)</f>
        <v>1</v>
      </c>
      <c r="F11">
        <f>IF(预期!F8=实际!F8,1,0)</f>
        <v>1</v>
      </c>
      <c r="G11">
        <f>IF(预期!G8=实际!G8,1,0)</f>
        <v>1</v>
      </c>
      <c r="H11">
        <f>IF(预期!H8=实际!H8,1,0)</f>
        <v>1</v>
      </c>
      <c r="I11">
        <f>IF(预期!I8=实际!I8,1,0)</f>
        <v>1</v>
      </c>
      <c r="J11">
        <f>IF(预期!J8=实际!J8,1,0)</f>
        <v>1</v>
      </c>
      <c r="K11">
        <f>IF(预期!K8=实际!K8,1,0)</f>
        <v>1</v>
      </c>
      <c r="L11">
        <f>IF(预期!L8=实际!L8,1,0)</f>
        <v>1</v>
      </c>
    </row>
    <row r="12" spans="1:12">
      <c r="A12" t="str">
        <f>实际!A9</f>
        <v>normal_3</v>
      </c>
      <c r="B12">
        <f>IF(预期!B9=实际!B9,1,0)</f>
        <v>1</v>
      </c>
      <c r="C12">
        <f>IF(预期!C9=实际!C9,1,0)</f>
        <v>1</v>
      </c>
      <c r="D12">
        <f>IF(预期!D9=实际!D9,1,0)</f>
        <v>1</v>
      </c>
      <c r="E12">
        <f>IF(预期!E9=实际!E9,1,0)</f>
        <v>1</v>
      </c>
      <c r="F12">
        <f>IF(预期!F9=实际!F9,1,0)</f>
        <v>1</v>
      </c>
      <c r="G12">
        <f>IF(预期!G9=实际!G9,1,0)</f>
        <v>1</v>
      </c>
      <c r="H12">
        <f>IF(预期!H9=实际!H9,1,0)</f>
        <v>1</v>
      </c>
      <c r="I12">
        <f>IF(预期!I9=实际!I9,1,0)</f>
        <v>1</v>
      </c>
      <c r="J12">
        <f>IF(预期!J9=实际!J9,1,0)</f>
        <v>1</v>
      </c>
      <c r="K12">
        <f>IF(预期!K9=实际!K9,1,0)</f>
        <v>1</v>
      </c>
      <c r="L12">
        <f>IF(预期!L9=实际!L9,1,0)</f>
        <v>1</v>
      </c>
    </row>
    <row r="13" spans="1:12">
      <c r="A13" t="str">
        <f>实际!A10</f>
        <v>normal_4</v>
      </c>
      <c r="B13">
        <f>IF(预期!B10=实际!B10,1,0)</f>
        <v>1</v>
      </c>
      <c r="C13">
        <f>IF(预期!C10=实际!C10,1,0)</f>
        <v>1</v>
      </c>
      <c r="D13">
        <f>IF(预期!D10=实际!D10,1,0)</f>
        <v>1</v>
      </c>
      <c r="E13">
        <f>IF(预期!E10=实际!E10,1,0)</f>
        <v>1</v>
      </c>
      <c r="F13">
        <f>IF(预期!F10=实际!F10,1,0)</f>
        <v>1</v>
      </c>
      <c r="G13">
        <f>IF(预期!G10=实际!G10,1,0)</f>
        <v>1</v>
      </c>
      <c r="H13">
        <f>IF(预期!H10=实际!H10,1,0)</f>
        <v>1</v>
      </c>
      <c r="I13">
        <f>IF(预期!I10=实际!I10,1,0)</f>
        <v>1</v>
      </c>
      <c r="J13">
        <f>IF(预期!J10=实际!J10,1,0)</f>
        <v>1</v>
      </c>
      <c r="K13">
        <f>IF(预期!K10=实际!K10,1,0)</f>
        <v>1</v>
      </c>
      <c r="L13">
        <f>IF(预期!L10=实际!L10,1,0)</f>
        <v>1</v>
      </c>
    </row>
    <row r="14" spans="1:12">
      <c r="A14" t="str">
        <f>实际!A11</f>
        <v>normal_5</v>
      </c>
      <c r="B14">
        <f>IF(预期!B11=实际!B11,1,0)</f>
        <v>1</v>
      </c>
      <c r="C14">
        <f>IF(预期!C11=实际!C11,1,0)</f>
        <v>1</v>
      </c>
      <c r="D14">
        <f>IF(预期!D11=实际!D11,1,0)</f>
        <v>1</v>
      </c>
      <c r="E14">
        <f>IF(预期!E11=实际!E11,1,0)</f>
        <v>1</v>
      </c>
      <c r="F14">
        <f>IF(预期!F11=实际!F11,1,0)</f>
        <v>1</v>
      </c>
      <c r="G14">
        <f>IF(预期!G11=实际!G11,1,0)</f>
        <v>1</v>
      </c>
      <c r="H14">
        <f>IF(预期!H11=实际!H11,1,0)</f>
        <v>1</v>
      </c>
      <c r="I14">
        <f>IF(预期!I11=实际!I11,1,0)</f>
        <v>1</v>
      </c>
      <c r="J14">
        <f>IF(预期!J11=实际!J11,1,0)</f>
        <v>1</v>
      </c>
      <c r="K14">
        <f>IF(预期!K11=实际!K11,1,0)</f>
        <v>1</v>
      </c>
      <c r="L14">
        <f>IF(预期!L11=实际!L11,1,0)</f>
        <v>1</v>
      </c>
    </row>
    <row r="15" spans="1:12">
      <c r="A15" t="str">
        <f>实际!A12</f>
        <v>normal_6</v>
      </c>
      <c r="B15">
        <f>IF(预期!B12=实际!B12,1,0)</f>
        <v>1</v>
      </c>
      <c r="C15">
        <f>IF(预期!C12=实际!C12,1,0)</f>
        <v>1</v>
      </c>
      <c r="D15">
        <f>IF(预期!D12=实际!D12,1,0)</f>
        <v>1</v>
      </c>
      <c r="E15">
        <f>IF(预期!E12=实际!E12,1,0)</f>
        <v>1</v>
      </c>
      <c r="F15">
        <f>IF(预期!F12=实际!F12,1,0)</f>
        <v>1</v>
      </c>
      <c r="G15">
        <f>IF(预期!G12=实际!G12,1,0)</f>
        <v>1</v>
      </c>
      <c r="H15">
        <f>IF(预期!H12=实际!H12,1,0)</f>
        <v>1</v>
      </c>
      <c r="I15">
        <f>IF(预期!I12=实际!I12,1,0)</f>
        <v>1</v>
      </c>
      <c r="J15">
        <f>IF(预期!J12=实际!J12,1,0)</f>
        <v>1</v>
      </c>
      <c r="K15">
        <f>IF(预期!K12=实际!K12,1,0)</f>
        <v>1</v>
      </c>
      <c r="L15">
        <f>IF(预期!L12=实际!L12,1,0)</f>
        <v>1</v>
      </c>
    </row>
    <row r="16" spans="1:12">
      <c r="A16" t="str">
        <f>实际!A13</f>
        <v>normal_7</v>
      </c>
      <c r="B16">
        <f>IF(预期!B13=实际!B13,1,0)</f>
        <v>1</v>
      </c>
      <c r="C16">
        <f>IF(预期!C13=实际!C13,1,0)</f>
        <v>1</v>
      </c>
      <c r="D16">
        <f>IF(预期!D13=实际!D13,1,0)</f>
        <v>1</v>
      </c>
      <c r="E16">
        <f>IF(预期!E13=实际!E13,1,0)</f>
        <v>1</v>
      </c>
      <c r="F16">
        <f>IF(预期!F13=实际!F13,1,0)</f>
        <v>1</v>
      </c>
      <c r="G16">
        <f>IF(预期!G13=实际!G13,1,0)</f>
        <v>1</v>
      </c>
      <c r="H16">
        <f>IF(预期!H13=实际!H13,1,0)</f>
        <v>1</v>
      </c>
      <c r="I16">
        <f>IF(预期!I13=实际!I13,1,0)</f>
        <v>1</v>
      </c>
      <c r="J16">
        <f>IF(预期!J13=实际!J13,1,0)</f>
        <v>1</v>
      </c>
      <c r="K16">
        <f>IF(预期!K13=实际!K13,1,0)</f>
        <v>1</v>
      </c>
      <c r="L16">
        <f>IF(预期!L13=实际!L13,1,0)</f>
        <v>1</v>
      </c>
    </row>
    <row r="17" spans="1:12">
      <c r="A17" t="str">
        <f>实际!A14</f>
        <v>normal_8</v>
      </c>
      <c r="B17">
        <f>IF(预期!B14=实际!B14,1,0)</f>
        <v>1</v>
      </c>
      <c r="C17">
        <f>IF(预期!C14=实际!C14,1,0)</f>
        <v>1</v>
      </c>
      <c r="D17">
        <f>IF(预期!D14=实际!D14,1,0)</f>
        <v>1</v>
      </c>
      <c r="E17">
        <f>IF(预期!E14=实际!E14,1,0)</f>
        <v>1</v>
      </c>
      <c r="F17">
        <f>IF(预期!F14=实际!F14,1,0)</f>
        <v>1</v>
      </c>
      <c r="G17">
        <f>IF(预期!G14=实际!G14,1,0)</f>
        <v>1</v>
      </c>
      <c r="H17">
        <f>IF(预期!H14=实际!H14,1,0)</f>
        <v>1</v>
      </c>
      <c r="I17">
        <f>IF(预期!I14=实际!I14,1,0)</f>
        <v>1</v>
      </c>
      <c r="J17">
        <f>IF(预期!J14=实际!J14,1,0)</f>
        <v>1</v>
      </c>
      <c r="K17">
        <f>IF(预期!K14=实际!K14,1,0)</f>
        <v>1</v>
      </c>
      <c r="L17">
        <f>IF(预期!L14=实际!L14,1,0)</f>
        <v>1</v>
      </c>
    </row>
    <row r="18" spans="1:12">
      <c r="A18" t="str">
        <f>实际!A15</f>
        <v>normal_9</v>
      </c>
      <c r="B18">
        <f>IF(预期!B15=实际!B15,1,0)</f>
        <v>1</v>
      </c>
      <c r="C18">
        <f>IF(预期!C15=实际!C15,1,0)</f>
        <v>1</v>
      </c>
      <c r="D18">
        <f>IF(预期!D15=实际!D15,1,0)</f>
        <v>1</v>
      </c>
      <c r="E18">
        <f>IF(预期!E15=实际!E15,1,0)</f>
        <v>1</v>
      </c>
      <c r="F18">
        <f>IF(预期!F15=实际!F15,1,0)</f>
        <v>1</v>
      </c>
      <c r="G18">
        <f>IF(预期!G15=实际!G15,1,0)</f>
        <v>1</v>
      </c>
      <c r="H18">
        <f>IF(预期!H15=实际!H15,1,0)</f>
        <v>1</v>
      </c>
      <c r="I18">
        <f>IF(预期!I15=实际!I15,1,0)</f>
        <v>1</v>
      </c>
      <c r="J18">
        <f>IF(预期!J15=实际!J15,1,0)</f>
        <v>1</v>
      </c>
      <c r="K18">
        <f>IF(预期!K15=实际!K15,1,0)</f>
        <v>1</v>
      </c>
      <c r="L18">
        <f>IF(预期!L15=实际!L15,1,0)</f>
        <v>1</v>
      </c>
    </row>
    <row r="19" spans="1:12">
      <c r="A19" t="str">
        <f>实际!A16</f>
        <v>normal_10</v>
      </c>
      <c r="B19">
        <f>IF(预期!B16=实际!B16,1,0)</f>
        <v>1</v>
      </c>
      <c r="C19">
        <f>IF(预期!C16=实际!C16,1,0)</f>
        <v>1</v>
      </c>
      <c r="D19">
        <f>IF(预期!D16=实际!D16,1,0)</f>
        <v>1</v>
      </c>
      <c r="E19">
        <f>IF(预期!E16=实际!E16,1,0)</f>
        <v>1</v>
      </c>
      <c r="F19">
        <f>IF(预期!F16=实际!F16,1,0)</f>
        <v>1</v>
      </c>
      <c r="G19">
        <f>IF(预期!G16=实际!G16,1,0)</f>
        <v>1</v>
      </c>
      <c r="H19">
        <f>IF(预期!H16=实际!H16,1,0)</f>
        <v>1</v>
      </c>
      <c r="I19">
        <f>IF(预期!I16=实际!I16,1,0)</f>
        <v>1</v>
      </c>
      <c r="J19">
        <f>IF(预期!J16=实际!J16,1,0)</f>
        <v>1</v>
      </c>
      <c r="K19">
        <f>IF(预期!K16=实际!K16,1,0)</f>
        <v>1</v>
      </c>
      <c r="L19">
        <f>IF(预期!L16=实际!L16,1,0)</f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0" sqref="A10"/>
    </sheetView>
  </sheetViews>
  <sheetFormatPr defaultColWidth="9.02654867256637" defaultRowHeight="13.5" outlineLevelRow="3" outlineLevelCol="1"/>
  <cols>
    <col min="1" max="1" width="15.6283185840708" customWidth="1"/>
  </cols>
  <sheetData>
    <row r="1" spans="1:2">
      <c r="A1" s="1" t="s">
        <v>87</v>
      </c>
      <c r="B1" s="1" t="s">
        <v>88</v>
      </c>
    </row>
    <row r="2" spans="1:2">
      <c r="A2" t="s">
        <v>89</v>
      </c>
      <c r="B2" s="2">
        <f>SUM(对比!B5:K19)/150</f>
        <v>1</v>
      </c>
    </row>
    <row r="3" spans="1:2">
      <c r="A3" t="s">
        <v>90</v>
      </c>
      <c r="B3" s="2">
        <f>SUM(对比!L5:L8)/4</f>
        <v>1</v>
      </c>
    </row>
    <row r="4" spans="1:2">
      <c r="A4" t="s">
        <v>91</v>
      </c>
      <c r="B4" s="2">
        <f>1-SUM(对比!L9:L19)/11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预期</vt:lpstr>
      <vt:lpstr>实际</vt:lpstr>
      <vt:lpstr>对比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Huiling</dc:creator>
  <cp:lastModifiedBy>thl</cp:lastModifiedBy>
  <dcterms:created xsi:type="dcterms:W3CDTF">2023-05-12T11:15:00Z</dcterms:created>
  <dcterms:modified xsi:type="dcterms:W3CDTF">2026-09-14T01:13:03Z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A41688760851426DA5CC71A632BDAF78_12</vt:lpwstr>
  </property>
  <property fmtid="{D5CDD505-2E9C-101B-9397-08002B2CF9AE}" pid="4" name="CalculationRule">
    <vt:i4>0</vt:i4>
  </property>
</Properties>
</file>